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PROIECTE IN LUCRU\Psiholog\Chestionar\Template\"/>
    </mc:Choice>
  </mc:AlternateContent>
  <xr:revisionPtr revIDLastSave="0" documentId="13_ncr:1_{2827618F-14AB-49C7-B442-41BE941B5CC2}" xr6:coauthVersionLast="47" xr6:coauthVersionMax="47" xr10:uidLastSave="{00000000-0000-0000-0000-000000000000}"/>
  <workbookProtection workbookAlgorithmName="SHA-512" workbookHashValue="87ZfLOi2xxph+EHlcX0BrjkCqlZAwXKQMw7Wy7uw1+ivKhZM+BbP8k8B8s2IcTu0mQqZe/nsWixbnExI/yYxVA==" workbookSaltValue="dVHyzzXg4RzyUTaQwHUhnA==" workbookSpinCount="100000" lockStructure="1"/>
  <bookViews>
    <workbookView xWindow="-120" yWindow="-120" windowWidth="38640" windowHeight="15840" xr2:uid="{00000000-000D-0000-FFFF-FFFF00000000}"/>
  </bookViews>
  <sheets>
    <sheet name="Chestionar" sheetId="4" r:id="rId1"/>
    <sheet name="Rezultat" sheetId="1" state="hidden" r:id="rId2"/>
    <sheet name="Intrebari" sheetId="2" state="hidden" r:id="rId3"/>
    <sheet name="Text" sheetId="5" state="hidden" r:id="rId4"/>
    <sheet name="RezultatText" sheetId="6" state="hidden" r:id="rId5"/>
  </sheets>
  <definedNames>
    <definedName name="_xlnm._FilterDatabase" localSheetId="2" hidden="1">Intrebari!$U$1:$AF$212</definedName>
    <definedName name="_xlnm.Print_Area" localSheetId="0">Chestionar!$A$2:$M$22</definedName>
    <definedName name="_xlnm.Print_Area" localSheetId="4">RezultatText!$A$1:$N$14</definedName>
    <definedName name="Z_A0DA7257_ACEA_4803_81EB_063D2E081997_.wvu.FilterData" localSheetId="2" hidden="1">Intrebari!$U$1:$AF$212</definedName>
  </definedNames>
  <calcPr calcId="191029"/>
  <customWorkbookViews>
    <customWorkbookView name="View" guid="{A0DA7257-ACEA-4803-81EB-063D2E081997}" maximized="1" xWindow="-8" yWindow="-8" windowWidth="2576" windowHeight="1056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1" l="1"/>
  <c r="C5" i="1"/>
  <c r="C2" i="1"/>
  <c r="C13" i="1"/>
  <c r="B13" i="1"/>
  <c r="C12" i="1"/>
  <c r="B12" i="1"/>
  <c r="B11" i="1"/>
  <c r="C11" i="1"/>
  <c r="B10" i="1"/>
  <c r="D10" i="1" s="1"/>
  <c r="P10" i="1" s="1"/>
  <c r="C9" i="1"/>
  <c r="B9" i="1"/>
  <c r="B8" i="1"/>
  <c r="B7" i="1"/>
  <c r="D7" i="1" s="1"/>
  <c r="M7" i="1" s="1"/>
  <c r="C6" i="1"/>
  <c r="B6" i="1"/>
  <c r="B5" i="1"/>
  <c r="C4" i="1"/>
  <c r="B4" i="1"/>
  <c r="C3" i="1"/>
  <c r="B3" i="1"/>
  <c r="B2" i="1"/>
  <c r="P5" i="1" l="1"/>
  <c r="P8" i="1"/>
  <c r="P9" i="1"/>
  <c r="P4" i="1"/>
  <c r="P3" i="1"/>
  <c r="P7" i="1"/>
  <c r="P2" i="1"/>
  <c r="P6" i="1"/>
  <c r="M2" i="1"/>
  <c r="M10" i="1"/>
  <c r="M5" i="1"/>
  <c r="M9" i="1"/>
  <c r="M4" i="1"/>
  <c r="M8" i="1"/>
  <c r="M6" i="1"/>
  <c r="M3" i="1"/>
  <c r="D13" i="1"/>
  <c r="D12" i="1"/>
  <c r="D11" i="1"/>
  <c r="D9" i="1"/>
  <c r="D8" i="1"/>
  <c r="D6" i="1"/>
  <c r="D2" i="1"/>
  <c r="D5" i="1"/>
  <c r="D4" i="1"/>
  <c r="D3" i="1"/>
  <c r="J18" i="5" l="1"/>
  <c r="J19" i="5"/>
  <c r="O10" i="1"/>
  <c r="O6" i="1"/>
  <c r="O2" i="1"/>
  <c r="O7" i="1"/>
  <c r="O3" i="1"/>
  <c r="O4" i="1"/>
  <c r="O5" i="1"/>
  <c r="O8" i="1"/>
  <c r="O9" i="1"/>
  <c r="G19" i="5"/>
  <c r="R10" i="1"/>
  <c r="R6" i="1"/>
  <c r="R2" i="1"/>
  <c r="R7" i="1"/>
  <c r="R3" i="1"/>
  <c r="R8" i="1"/>
  <c r="R9" i="1"/>
  <c r="R5" i="1"/>
  <c r="R4" i="1"/>
  <c r="G17" i="5"/>
  <c r="I8" i="1"/>
  <c r="I4" i="1"/>
  <c r="I9" i="1"/>
  <c r="I2" i="1"/>
  <c r="I3" i="1"/>
  <c r="I10" i="1"/>
  <c r="I5" i="1"/>
  <c r="I6" i="1"/>
  <c r="I7" i="1"/>
  <c r="J17" i="5"/>
  <c r="K8" i="1"/>
  <c r="K7" i="1"/>
  <c r="K6" i="1"/>
  <c r="K2" i="1"/>
  <c r="K10" i="1"/>
  <c r="K3" i="1"/>
  <c r="K9" i="1"/>
  <c r="K4" i="1"/>
  <c r="K5" i="1"/>
  <c r="S7" i="1"/>
  <c r="S3" i="1"/>
  <c r="S8" i="1"/>
  <c r="S4" i="1"/>
  <c r="S9" i="1"/>
  <c r="S5" i="1"/>
  <c r="S10" i="1"/>
  <c r="S6" i="1"/>
  <c r="S2" i="1"/>
  <c r="H8" i="1"/>
  <c r="H6" i="1"/>
  <c r="H2" i="1"/>
  <c r="H7" i="1"/>
  <c r="H3" i="1"/>
  <c r="H10" i="1"/>
  <c r="H4" i="1"/>
  <c r="H9" i="1"/>
  <c r="H5" i="1"/>
  <c r="J10" i="1"/>
  <c r="J6" i="1"/>
  <c r="J8" i="1"/>
  <c r="J4" i="1"/>
  <c r="J9" i="1"/>
  <c r="J5" i="1"/>
  <c r="J7" i="1"/>
  <c r="J3" i="1"/>
  <c r="J2" i="1"/>
  <c r="N9" i="1"/>
  <c r="N3" i="1"/>
  <c r="N7" i="1"/>
  <c r="N5" i="1"/>
  <c r="N6" i="1"/>
  <c r="N10" i="1"/>
  <c r="N2" i="1"/>
  <c r="N8" i="1"/>
  <c r="N4" i="1"/>
  <c r="G18" i="5"/>
  <c r="L8" i="1"/>
  <c r="L4" i="1"/>
  <c r="L2" i="1"/>
  <c r="L3" i="1"/>
  <c r="L7" i="1"/>
  <c r="L6" i="1"/>
  <c r="L5" i="1"/>
  <c r="L10" i="1"/>
  <c r="L9" i="1"/>
  <c r="Q7" i="1"/>
  <c r="Q3" i="1"/>
  <c r="Q5" i="1"/>
  <c r="Q8" i="1"/>
  <c r="Q4" i="1"/>
  <c r="Q9" i="1"/>
  <c r="Q6" i="1"/>
  <c r="Q2" i="1"/>
  <c r="Q10" i="1"/>
  <c r="K17" i="5" l="1"/>
  <c r="L18" i="5"/>
  <c r="B11" i="6"/>
  <c r="I17" i="5"/>
  <c r="I18" i="5"/>
  <c r="I19" i="5"/>
  <c r="E18" i="5"/>
  <c r="D17" i="5"/>
  <c r="D18" i="5"/>
  <c r="C19" i="5"/>
  <c r="M17" i="5"/>
  <c r="L19" i="5"/>
  <c r="L17" i="5"/>
  <c r="B8" i="6"/>
  <c r="C18" i="5"/>
  <c r="C17" i="5"/>
  <c r="E19" i="5"/>
  <c r="E17" i="5"/>
  <c r="B19" i="5"/>
  <c r="M18" i="5"/>
  <c r="B18" i="5"/>
  <c r="M19" i="5"/>
  <c r="B17" i="5"/>
  <c r="D19" i="5"/>
  <c r="H17" i="5"/>
  <c r="H19" i="5"/>
  <c r="H18" i="5"/>
  <c r="F18" i="5"/>
  <c r="F17" i="5"/>
  <c r="F19" i="5"/>
  <c r="K18" i="5"/>
  <c r="K19" i="5"/>
  <c r="B10" i="6" l="1"/>
  <c r="B5" i="6"/>
  <c r="B4" i="6"/>
  <c r="B13" i="6"/>
  <c r="B12" i="6"/>
  <c r="B3" i="6"/>
  <c r="B6" i="6"/>
  <c r="B14" i="6"/>
  <c r="B9" i="6"/>
  <c r="B7" i="6"/>
</calcChain>
</file>

<file path=xl/sharedStrings.xml><?xml version="1.0" encoding="utf-8"?>
<sst xmlns="http://schemas.openxmlformats.org/spreadsheetml/2006/main" count="619" uniqueCount="270">
  <si>
    <t>DA</t>
  </si>
  <si>
    <t>NU</t>
  </si>
  <si>
    <t>N1</t>
  </si>
  <si>
    <t>A2</t>
  </si>
  <si>
    <t>D3</t>
  </si>
  <si>
    <t>S5</t>
  </si>
  <si>
    <t>E4</t>
  </si>
  <si>
    <t>C6</t>
  </si>
  <si>
    <t>TD7</t>
  </si>
  <si>
    <t>I8</t>
  </si>
  <si>
    <t>FD9</t>
  </si>
  <si>
    <t>E10</t>
  </si>
  <si>
    <t>NLE11</t>
  </si>
  <si>
    <t>M12</t>
  </si>
  <si>
    <t>Îmi vine greu să leg noi prietenii.</t>
  </si>
  <si>
    <t>Întotdeauna sunt bine dispus.</t>
  </si>
  <si>
    <t>Am deseori dureri de cap.</t>
  </si>
  <si>
    <t>Se întâmplă uneori să-mi simt inima zvâcnind în gât.</t>
  </si>
  <si>
    <t>Câteodată râd de o glumă necuviincioasă.</t>
  </si>
  <si>
    <t>Când vreau să aflu ceva, prefer să caut într-o carte decât să întreb.</t>
  </si>
  <si>
    <t>Chiar când mă aflu în societate, mă simt adesea singur.</t>
  </si>
  <si>
    <t>Pot să mă înfurii atât de tare, încât să sparg, de exemplu, vesela.</t>
  </si>
  <si>
    <t>Mă simt cam jenat când lumea mă observă pe stradă sau într-un magazin.</t>
  </si>
  <si>
    <t>Iau parte numai de nevoie, fără plăcere, la o mare reuniune, la un bal sau la o festivitate publică.</t>
  </si>
  <si>
    <t>Uneori simt cum îmi bat sau zvâcnesc venele.</t>
  </si>
  <si>
    <t>Când cineva mi-a făcut o nedreptate, îi doresc o pedeapsă usturătoare.</t>
  </si>
  <si>
    <t>S-a întâmplat să fac ceva periculos din pură plăcere.</t>
  </si>
  <si>
    <t>Un câine care nu ascultă merită bătaie.</t>
  </si>
  <si>
    <t>Visez peste zi mai mult decât este bine pentru mine.</t>
  </si>
  <si>
    <t>Mă pricep să înviorez o societate plicticoasă.</t>
  </si>
  <si>
    <t>Câteodată mă simt, fară niciun motiv, destul de „nenorocit’’</t>
  </si>
  <si>
    <t>Uneori simt un nod în gât.</t>
  </si>
  <si>
    <t>Dacă mă supără o muscă, nu mă las până nu o prind.</t>
  </si>
  <si>
    <t>Mă sfiesc să intru singur într-o încăpere unde este adunată mai multă lume care stă de vorbă.</t>
  </si>
  <si>
    <t>Simt adesea că mi se usucă gura.</t>
  </si>
  <si>
    <t>Mă simt aproape tot timpul flămând.</t>
  </si>
  <si>
    <t>Am întâlnit oameni care m-au supărat atât de mult, încât am ajuns la bătaie.</t>
  </si>
  <si>
    <t>Se întâmplă adesea să nu am poftă de mâncare.</t>
  </si>
  <si>
    <t>Nu spun totdeauna adevărul.</t>
  </si>
  <si>
    <t>S-a întâmplat să mă supăr atât de tare pe cineva, încât să-i doresc moartea.</t>
  </si>
  <si>
    <t>Un cal care nu trage bine trebuie să simtă biciul.</t>
  </si>
  <si>
    <t>Deviza mea este: „Nu te încrede niciodată în străini!”.</t>
  </si>
  <si>
    <t>Pentru lucruri care au trecut nu mă mai frământ.</t>
  </si>
  <si>
    <t>În fond sunt un om cam fricos.</t>
  </si>
  <si>
    <t>Aproape în fiecare săptămână întâlnesc pe cineva pe care nu pot să-l sufăr.</t>
  </si>
  <si>
    <t>Fac multe lucruri de care apoi îmi pare rău.</t>
  </si>
  <si>
    <t>Dacă cineva îmi face ceva rău, îi doresc o pedeapsă usturătoare.</t>
  </si>
  <si>
    <t>Am deseori balonări.</t>
  </si>
  <si>
    <t>Dacă cineva îi face un rău prietenului meu, sunt alături de el pentru a ne răzbuna.</t>
  </si>
  <si>
    <t>Sincer vorbind, s-a întâmplat să chinuiesc animale.</t>
  </si>
  <si>
    <t>Adesea sunt sătul de toate.</t>
  </si>
  <si>
    <r>
      <rPr>
        <sz val="7"/>
        <color theme="1"/>
        <rFont val="Times New Roman"/>
        <family val="1"/>
      </rPr>
      <t xml:space="preserve"> </t>
    </r>
    <r>
      <rPr>
        <sz val="12"/>
        <color theme="1"/>
        <rFont val="Times New Roman"/>
        <family val="1"/>
      </rPr>
      <t>După ce mă culc, adorm de regulă în câteva minute.</t>
    </r>
  </si>
  <si>
    <t>Cateodata imi imaginez câ adversarilor mei li se întampla ceva rau</t>
  </si>
  <si>
    <t>Am participat activ la organizarea unui cerc sau grup de persoane</t>
  </si>
  <si>
    <t>Adesea întorc privirea sau mă uit spre partea cealalta a străzii pentru a evita întâlnirea cu cineva.</t>
  </si>
  <si>
    <t>Sunt destul de vioi din fire.</t>
  </si>
  <si>
    <t>Mă îndoiesc uneori dacă pe oamenii cu care stau de vorbă îi interesează intr-adevăr ceea ce le spun.</t>
  </si>
  <si>
    <t>Daca cineva se poartă urât cu mine, asta nu mă supără.</t>
  </si>
  <si>
    <t>Corpul meu rareori se poate destinde (relaxa) cu totul.</t>
  </si>
  <si>
    <t>Îmi face mai multă plăcere să-mi petrec seara cu o îndeletnicire favorită, decât într-o societate veselă.</t>
  </si>
  <si>
    <t>Nu m-ar stânjeni cu nimic să fac o colectă pentru un scop bun.</t>
  </si>
  <si>
    <t>În societate mă comport de obicei mai bine decât acasă.</t>
  </si>
  <si>
    <t>Dacă m-am purtat stângaci într-o societate, pot s-o uit repede, n-o pun la inimă.</t>
  </si>
  <si>
    <t>Când mă înfurii, spun lucruri necuviincioase.</t>
  </si>
  <si>
    <t>Nu-mi place când oamenii mă privesc în timp ce lucrez.</t>
  </si>
  <si>
    <t>Visez adesea la lucruri irealizabile.</t>
  </si>
  <si>
    <t>Câteodată m-am frământat foarte mult pentru lucruri care, de fapt, nu erau importante.</t>
  </si>
  <si>
    <t>Uneori amân o treabă care ar trebui făcută imediat.</t>
  </si>
  <si>
    <t>Deseori incep sa tremur de spaima sau de emotie sau mi se inmoaie genunchii</t>
  </si>
  <si>
    <t>Obosesc mai repede decât majoritatea oamenilor pe carc-i cunosc.</t>
  </si>
  <si>
    <t>Când mă necăjesc sau mă enervez tare, o simt in tot corpul.</t>
  </si>
  <si>
    <t>Adesea mă supără gânduri inutile care îmi revin tot timpul în minte.</t>
  </si>
  <si>
    <t>Am tulburări de somn: adorm greu sau mă trezesc frecvent.</t>
  </si>
  <si>
    <t>Organismul meu are nevoie de peste 8 ore de somn pentru a se reface cum trebuie.</t>
  </si>
  <si>
    <t>Există atâtea lucruri supărătoare!</t>
  </si>
  <si>
    <t>Spun deseori lucruri necugetate pe care apoi le regret.</t>
  </si>
  <si>
    <t>Îmi place să fac câte o glumă nevinovată pe seama altora.</t>
  </si>
  <si>
    <t>De obicei privesc spre viitor cu încredere.</t>
  </si>
  <si>
    <t>Chiar dacă totul e împotriva mea, nu mă descurajez.</t>
  </si>
  <si>
    <t>Visez destul de des.</t>
  </si>
  <si>
    <t>Adesea mă enervez prea repede.</t>
  </si>
  <si>
    <t>Nu-mi place să fiu împreună cu oamenii pe care încă nu-i cunosc.</t>
  </si>
  <si>
    <t>Uneori îmi face plăcere să rănesc oameni care îmi sunt dragi.</t>
  </si>
  <si>
    <t>Adesea sunt dus pe gânduri.</t>
  </si>
  <si>
    <t>Uneori mi se întâmplă să mă bucur un pic de necazul altora.</t>
  </si>
  <si>
    <t>Câteodată vorbesc despre lucruri la care nu mă pricep.</t>
  </si>
  <si>
    <t>Mâ simt adesea ca un butoi de pulbere gata să explodeze.</t>
  </si>
  <si>
    <t>Mă simt adesea ostenit, vlăguit, epuizat.</t>
  </si>
  <si>
    <t>Numai rareori mi se întâmplă să fiu deprimat, să mă simt nefericit.</t>
  </si>
  <si>
    <t>Îmi place atât de mult să stau de vorbă cu oamenii, încât folosesc orice prilej pentru a discuta cu persoane necunoscute.</t>
  </si>
  <si>
    <t>Sunt sensibil la jigniri.</t>
  </si>
  <si>
    <t>Intr-o dispută înclin să vorbesc mai tare ca de obicei.</t>
  </si>
  <si>
    <t>Nu-mi pasă dacă se râde de mine.</t>
  </si>
  <si>
    <t>Uneori cred că nu sunt bun de nimic.</t>
  </si>
  <si>
    <t>Cel mai fericit mă simt atunci când sunt singur.</t>
  </si>
  <si>
    <t>Îmi place să ies seara să mă distrez.</t>
  </si>
  <si>
    <t>SCALA</t>
  </si>
  <si>
    <t>PUNCTAJ</t>
  </si>
  <si>
    <t>MAXIM</t>
  </si>
  <si>
    <t>Rareori ripostez când cineva mă loveste.</t>
  </si>
  <si>
    <t>Deseori visez la lucruri de care e mai bine să nu vorbesti.</t>
  </si>
  <si>
    <t>Îmi pierd repede cumpătul, dar mă si stăpânesc repede.</t>
  </si>
  <si>
    <t>Rosesc sau pălesc usor.</t>
  </si>
  <si>
    <t>Sunt de părere că răul trebuie răsplătit cu binele si asa procedez.</t>
  </si>
  <si>
    <t>Uneori am călduri si congestie la cap.</t>
  </si>
  <si>
    <t>Cu oamenii care se poartă mai prietenos decât m-as fi asteptat, devin prudent.</t>
  </si>
  <si>
    <t>Mă fâstâcesc destul de usor.</t>
  </si>
  <si>
    <t>Chiar si pe vreme caldă am deseori mâinile si picioarele reci.</t>
  </si>
  <si>
    <t>Câteodată îmi pierd răbdarea si mă înfurii.</t>
  </si>
  <si>
    <t>Câteodată gâfâi, chiar fara să fi săvârsit o muncă grea.</t>
  </si>
  <si>
    <t>In general sunt linistit, nu mă enervez usor.</t>
  </si>
  <si>
    <t>Intr-o societate voioasă pot să mă manifest de obicei în mod firesc si relaxat.</t>
  </si>
  <si>
    <t>De obicei pot să mă hotărăsc repede si sigur.</t>
  </si>
  <si>
    <t>Când călătoresc, prefer să privesc peisajul decât să stau de vorbă cu tovarăsii de drum.</t>
  </si>
  <si>
    <t>Dacă sufăr un esec, aceasta nu mă tulbură.</t>
  </si>
  <si>
    <t>Nu-mi pot închipui vreun motiv întemeiat ca să lovesti pe cineva.</t>
  </si>
  <si>
    <t>Uneori am întârziat de la întâlnire sau de la scoală.</t>
  </si>
  <si>
    <t>Când întâlnesc pe neasteptate un vechi prieten, îmi vine să-i sar de gât.</t>
  </si>
  <si>
    <t>Câteodată sunt abătut fără să stiu de ce.</t>
  </si>
  <si>
    <t>Îmi face plăcere să arăt greselile altora.</t>
  </si>
  <si>
    <t>Uneori mai spun si cate o minciuna</t>
  </si>
  <si>
    <t>Când mă înfurii cu adevărat, as fi în stare să lovesc pe cineva.</t>
  </si>
  <si>
    <t>Uneori mă nelinisteste chiar si posibilitatea de a avea ghinion.</t>
  </si>
  <si>
    <t>Câteodată am gânduri de care ar trebui să-imi fie rusine.</t>
  </si>
  <si>
    <t>Mâinile si picioarele mele sunt deseori agitate.</t>
  </si>
  <si>
    <t>Mă număr printre acei oameni care iau lucrurile în general usor.</t>
  </si>
  <si>
    <t>De regulă îmi vine usor să mă concentrez asupra muncii mele.</t>
  </si>
  <si>
    <t>Cred că as putea fi un pasionat vânător.</t>
  </si>
  <si>
    <t>Cine mă jigneste serios poate să încaseze o palmă.</t>
  </si>
  <si>
    <t>Adesea nu-mi pot stăpâni ciuda si mânia.</t>
  </si>
  <si>
    <t>As prefera să locuiesc într-un oras mare, animat, decât într-un sat linistit.</t>
  </si>
  <si>
    <t>Nu este felul meu să spun bancuri si întâmplări amuzante.</t>
  </si>
  <si>
    <t>Adesea tresar când ceva se miscă repede sau dacă cineva mi se adresează pe neasteptate.</t>
  </si>
  <si>
    <t>Există momente in care sunt foarte trist si deprimat.</t>
  </si>
  <si>
    <t>Din păcate, mă număr printre cei care se înfurie usor.</t>
  </si>
  <si>
    <t>Mai demult făceam parte dintr-o gască care rămânea strâns unită în orice împrejurare.</t>
  </si>
  <si>
    <t>Îmi pierd usor cumpătul dacă sunt atacat.</t>
  </si>
  <si>
    <t>Câteodată sunt morocănos si prost dispus.</t>
  </si>
  <si>
    <t>Chiar dacă ceva mă scoate din sărite, de obicei mă linistesc repede.</t>
  </si>
  <si>
    <t>Adesea sunt atât de prost dispus, încât nu vreau să stiu de nimeni.</t>
  </si>
  <si>
    <t>În copilărie mi s-a întâmplat uneori să umblu pe furis la dulciuri.</t>
  </si>
  <si>
    <t>Îmi clocoteste sângele când cineva mă ia drept fraier.</t>
  </si>
  <si>
    <t>De obicei sunt foarte constiincios.</t>
  </si>
  <si>
    <t>Uneori, fără vreun motiv întemeiat, am sentimentul unui pericol vag sau simt o teamă nedeslusită.</t>
  </si>
  <si>
    <t>Nu-mi vine să intru în vorbă cu oamenii până când acestia nu mi se adresează.</t>
  </si>
  <si>
    <t>Adesea mă necăjesc prea usor din cauza altora.</t>
  </si>
  <si>
    <t>Când trebuie să iau o hotărâre importantă, chiar si după o chibzuială îndelungată, mă simt tot nesigur.</t>
  </si>
  <si>
    <t>Deseori, îmi musc buzele sau îmi rod unghiile.</t>
  </si>
  <si>
    <t>Îmi amintesc că odată am fost atât de furios, încât am apucat primul obiect la îndemână si l-am spart sau l-am rupt.</t>
  </si>
  <si>
    <t>Am citit instructiunile si sunt gata să răspund sincer.</t>
  </si>
  <si>
    <t>Când vreau să fac cunostintă cu cineva, îmi vine greu să găsesc subiectul de conversatie potrivit.</t>
  </si>
  <si>
    <t>Uneori am palpitatii sau inima îmi bate neregulat.</t>
  </si>
  <si>
    <t>Uneori am vâjâieli în urechi sau îmi apar scântei în fata ochilor.</t>
  </si>
  <si>
    <t>Sincer vorbind, îmi face uneori plăcere să chinui pe altii.</t>
  </si>
  <si>
    <t>Câteodată simt întepături în piept.</t>
  </si>
  <si>
    <t>Sunt mai întreprinzător decât majoritatea cunoscutilor mei.</t>
  </si>
  <si>
    <t>Adesea mi se întâmplă să ametesc si să văd negru înaintea ochilor, când mă ridic brusc din pozitia culcat.</t>
  </si>
  <si>
    <t>Când cineva din cercul meu de prieteni este jignit, am grijă ca împreună cu ceilalti să-l pedepsim pe cel vinovat.</t>
  </si>
  <si>
    <t>Dacă trebuie să recurg la forta fizică pentru a-mi apăra drepturile, o fac.</t>
  </si>
  <si>
    <t>Nu mă supăr dacă altii critică ceva legat de mine sau de munca mea.</t>
  </si>
  <si>
    <t>Simt adesea furnicături, întepături sau amorteală în mâini si picioare.</t>
  </si>
  <si>
    <t>Am adesea neîntelegeri cu altii.</t>
  </si>
  <si>
    <t xml:space="preserve"> In relatiile cu oamenii sunt neîndemânatic.</t>
  </si>
  <si>
    <t>În situatii emotionante adesea mi se taie răsuflarea, astfel încât trebuie să respir adanc.</t>
  </si>
  <si>
    <t>Când mă mânii îmi place să-mi descarc nervii prin activităti fizice, ca tăiatul lemnelor etc.</t>
  </si>
  <si>
    <t>În copilărie îmi plăcea uneori să chinui pe altii, de pildă le suceam bratele, îi trăgeam de păr etc.</t>
  </si>
  <si>
    <t>Uneori sunt plin de energic si dornic de actiune, iar alteori nu sunt în stare să mă apuc de nici o treabă serioasă.</t>
  </si>
  <si>
    <t>Am uneori senzatia că nu primesc destul aer, că mă sufoc.</t>
  </si>
  <si>
    <t>Uneori îmi imaginez ce rău ar trebui s-o pătească cei care îmi fac o nedreptate.</t>
  </si>
  <si>
    <t>Câteodată mă cuprinde un sentiment de indiferentă si de gol interior.</t>
  </si>
  <si>
    <t>Am comis multe greseli în viată.</t>
  </si>
  <si>
    <t>Am câteodată sentimentul că altii râd de mine.</t>
  </si>
  <si>
    <t>Îmi plac sarcinile care cer actiune rapidă.</t>
  </si>
  <si>
    <t>Când mă gândesc la câte mi s-au întâmplat în viată, nu sunt tocmai multumit de soarta mea.</t>
  </si>
  <si>
    <t>In copilărie îmi făcea plăcere când alti copii erau bătuti de părinti sau de profesori.</t>
  </si>
  <si>
    <t>Am un stomac sensibil (senzatie de apăsare, de plin, dureri de stomac).</t>
  </si>
  <si>
    <t>Am frecvent greturi sau vărsături.</t>
  </si>
  <si>
    <t>Am adesea constipatie.</t>
  </si>
  <si>
    <t>Dacă la restaurant mi s-ar servi mâncare proastă, as face reclamatie la ospătar sau la responsabil.</t>
  </si>
  <si>
    <t>În momente de emotie sau de frică îmi apare nevoia de a avea scaun (diaree) sau de a urina.</t>
  </si>
  <si>
    <t>De obicei actionez repede si sigur.</t>
  </si>
  <si>
    <t>Dacă cineva tipă la mine, tip si eu la el.</t>
  </si>
  <si>
    <t>Uneori nu-mi pot stăpâni o pornire de a-i face pe altii să sufere.</t>
  </si>
  <si>
    <t>Cand suntem mai multi mâ cuprinde adesea dorinta irezistibila pentru glume si farse grosolane.</t>
  </si>
  <si>
    <t>Există putine lucruri care să mă irite sau să mă supere.</t>
  </si>
  <si>
    <t>Câteodată mai fac putin pe grozavul.</t>
  </si>
  <si>
    <t>Cateodată îmi apar pete rosii pe gat sau pe fată.</t>
  </si>
  <si>
    <t>Îmi vine greu să sustin fată de cunoscutii mei o părere diferită.</t>
  </si>
  <si>
    <t>Nu toti cei pe care îi cunosc îmi sunt simpatici.</t>
  </si>
  <si>
    <t>Se întâmplă ca în anumite situatii să mă bâlbâi putin.</t>
  </si>
  <si>
    <t>Adesea îmi tremură mâna (de ex. la aprinderea unei tigări sau folosirea unei cesti).</t>
  </si>
  <si>
    <t>Nu stiu de ce, dar câteodată as vrea să fac ceva tăndări.</t>
  </si>
  <si>
    <t>Uneori mă linisteste când îmi imaginez diferite pătanii ale unor oameni antipatici.</t>
  </si>
  <si>
    <t>Adesea îmi scapă câte o observatie pe care era mai bine s-o păstrez pentru mine.</t>
  </si>
  <si>
    <t>Mi-ar plăcea să am o profesiune legată de multă variatie si călătorii, chiar dacă asta ar însemna mai multă nesigurantă.</t>
  </si>
  <si>
    <t>Am putini cunoscuti mai apropiati.</t>
  </si>
  <si>
    <t>Observ adesea o tresărire sau zvâcnire involuntară a pleoapelor, a fetei, a capului sau a umerilor.</t>
  </si>
  <si>
    <t>În anumite momente sau chiar si în general sunt deosebit de sensibil la lumină si la zgomot, astfel încât lumina puternică, culorile tipătoare sau anumite zgomote îmi produc aproape o durere fizică.</t>
  </si>
  <si>
    <t>După o petrecere am adesea dorinta ca împreună cu ceilalti să mai facem vreo poznă pentru a necăji oamenii.</t>
  </si>
  <si>
    <t>Dacă te gândesti câtă suferintă există pe acest pământ, parcă-ti doresti să nu te fi născut.</t>
  </si>
  <si>
    <t>Nici chiar o mare multime de necazuri si tulburări mărunte nu mă pot scoate din sărite.</t>
  </si>
  <si>
    <t>La petreceri sau la festivităti publice prefer să rămân pe planul al doilea, în umbră.</t>
  </si>
  <si>
    <t>În prezenta unor oameni deosebiti sau a unor superiori mă simt stingher, mă fâstâcesc usor.</t>
  </si>
  <si>
    <t>Îmi face plăcere să decapitez florile cu un băt.</t>
  </si>
  <si>
    <t>Greutătile de toate zilele mă scot adesea din sărite.</t>
  </si>
  <si>
    <t>În preajma unor anumite evenimente am adesea trac (emotii) si devin agitat.</t>
  </si>
  <si>
    <t>Îmi vine greu să vorbesc sau să fac o expunere în fata unui grup mare de oameni.</t>
  </si>
  <si>
    <t>Dispozitia, toanele mele se schimbă destul de des.</t>
  </si>
  <si>
    <t>Prefer să actionez decât să făuresc planuri.</t>
  </si>
  <si>
    <t>Familia mea si cunostintele mele nu mă înteleg cu adevărat.</t>
  </si>
  <si>
    <t>Adesea pronunt amenintări pe care însă nu Ie gândesc serios.</t>
  </si>
  <si>
    <t>Mă frământă mult viata mea de până acum.</t>
  </si>
  <si>
    <t>Dimineata, după ce mă trezesc, mă simt încă multă vreme obosit, dărâmat.</t>
  </si>
  <si>
    <t>Îmi place să-mi bat joc de altii.</t>
  </si>
  <si>
    <t>Am prezentă de spirit si găsesc întotdeauna pe loc răspunsul potrivit.</t>
  </si>
  <si>
    <t>În actiuni colective îmi place să preiau conducerea.</t>
  </si>
  <si>
    <t>Mă simt în stare să înfrunt cu succes viata si greutătile ei.</t>
  </si>
  <si>
    <t>Mi-e greu să câstig pe altii de partea mea.</t>
  </si>
  <si>
    <t>Mă consider destul de vorbăret.</t>
  </si>
  <si>
    <t>Mai bine „să-i muti cuiva falca” decât să fi considerat las.</t>
  </si>
  <si>
    <t>Îmi place să-mi expun părerea în fata altora.</t>
  </si>
  <si>
    <t>Am adesea sentimentul că nu duc un mod de viată corect.</t>
  </si>
  <si>
    <t>Purtarea mea la masă este mai putin îngrijită acasă decât în societate.</t>
  </si>
  <si>
    <t>Organismul meu reactionează în mod vădit la schimbările de vreme sau de climă.</t>
  </si>
  <si>
    <t>Dimineata, când mă scol, sunt adesea atât de bine dispus încât încep să fluier sau să cânt.</t>
  </si>
  <si>
    <t>Mă nelinisteste ce ar putea să gândească altii despre mine.</t>
  </si>
  <si>
    <t>Trec destul de usor peste deceptii.</t>
  </si>
  <si>
    <t>Prefer să cedez într-o problemă sau alta, decât să intru în discutii</t>
  </si>
  <si>
    <t>Câteodată mi-e dor de ceva emotionant.</t>
  </si>
  <si>
    <t>ridicat</t>
  </si>
  <si>
    <t>mediu</t>
  </si>
  <si>
    <t>scazut</t>
  </si>
  <si>
    <t>tendinţa spre acuze psihosomatice; afecţiuni de ordin neuro-vegetativ (circulaţie, respiraţie, digestie, tulburări motorii ); disconfort psihosomatic: tulburări de somn, oboseală, nelinişte, epuizare, iritabilitate.</t>
  </si>
  <si>
    <t>mare</t>
  </si>
  <si>
    <t>mic</t>
  </si>
  <si>
    <t>null</t>
  </si>
  <si>
    <t>posibile acte de agresiune corporală sau verbală; comportament impulsiv, sadic, glume, grosolane; nestăpânit, neliniştit; pregnantă nevoie de schimbări; sete de aventură; tendinţă spre exaltare (bucurie exacerbată);</t>
  </si>
  <si>
    <t>indispus, nesigur de sine; stări de indispoziţie; fluctuanţă mare în dispoziţii; prevalează stările depressive, tensionate,pesimiste; prost dispus, fără vitalitate, epuizat; iritabil; nemulţumit,ursuz; anxietate; singurătate; putere de concentrare redusă; complex de inferioritate; meditează mult şi ineficient; autoagresiune; sentiment de culpă.</t>
  </si>
  <si>
    <t>stări de iratibilitate,tensionat; susceptibil; emotiv; toleranţă redusă la frustrare; nerăbdător; neliniştit; uşor irascibil; puţin inhibat în afect;</t>
  </si>
  <si>
    <t>dorinţe, tendinţe de a stabili contacte sociale; leagă repede prietenii, cerc mare de cunoştinţe; vioiciune; întreprinzător, activ; comunicativ; prompt la replică;</t>
  </si>
  <si>
    <t>dorinţă redusă de contact interpersonal, se mulţumeşte cu propria persoană; evită contactele, în anumite împrejurări; intră greu în relaţii cu alte persoane; ciudat; retras; distant; puţin întreprinzător; taciturn;</t>
  </si>
  <si>
    <t>încredere în sine; nu se abate din drumul său; nu poate fi enervate uşor; răbdător în anumite condiţii; dârz,neliniştit; bună dispoziţie; optimist; nu-i plac disputele agresive; energic; acţionează repede şi eficient;</t>
  </si>
  <si>
    <t>iritabilitate; decepţionat şi supărat uşor; susceptibil; descurajat; ia lucrurile prea în serios; se simte uşor descurajat şi pus într-o situaţie penibilă; îngrijorare,epuizant; preferă să aştepte; nu-i plac hotărârile şi acţiunile impulsive; pesimist şi descurajat în anumite condiţii;</t>
  </si>
  <si>
    <t>acte de agresiune reactive fizice şi verbale; ştie să-şi impună interesele proprii; concepţii egocentrice; atitudine de suspiciune şi neîncredere faţă de ceilalţi; tinde spre o gândire autoritar-conformistă; agresiv în limita formelor convenţionale de convieţuire în societate; agresivitate reactivă; vină şi pedeapsă; judecăţi morale convenţionale</t>
  </si>
  <si>
    <t>tact; atitudine ponderată; înţelegător; maleabil; atitudine tolerantă; încrezător; judecăţi morale diferenţiate;</t>
  </si>
  <si>
    <t>timiditate, stingher; inhibat în relaţiile cu alte personae; incapabil de contact sau cu un comportament anormal în situaţii de contact; trac; neplăceri fizice înaintea anumitor ocazii sau la emoţii; putere de acţiune redusă; nesiguri în luarea hotărârilor; nu luptă pentru realizarea celor propuse; iritat când se ştie observat;</t>
  </si>
  <si>
    <t>dezinvoltură, sigur pe sine; încrezător în propriile puteri; independent de alte persoane; acţionează hotărât; capabil de contacte sociale; puţine fenomene fizice datorate tensiunii psihice; participare fizică redusă la afect; disponibilitate pentru acţiune; întreprinzător;</t>
  </si>
  <si>
    <t>recunoaşte mici slăbiciuni şi defecte; autocritic; în anumite situaţii are  atitudine dezinvoltă;</t>
  </si>
  <si>
    <t>tendinţă spre disimularea unor mici defecte şi slăbiciuni; vrea să producă o impresie bună; lipsa sincerităţii şi spirit autocritic; automulţumire sau o atitudine închistată;</t>
  </si>
  <si>
    <t>sociabilitate; vioiciune; întreprinzător; domină; dă tonul; capabil să se impună;</t>
  </si>
  <si>
    <t>nesociabilitate; calm; rezervă; puţin întreprinzător; constant; stăpânit; pasiv; puţin distractiv sau comunicativ;</t>
  </si>
  <si>
    <t>indispoziţie;dispoziţie labilă; preponderent depresiv;trist;apăsat; iritabilitate;uşor lezat; violent; susceptibil; morocănos ;uşor agitate; mereu în tensiune; meditări inutile; atenţie uşor sustrasă; are griji; sentiment de vinovăţie; dificultăţi de relaţionare;se simte greşit înţeles; neîndreptăţit; apatic;</t>
  </si>
  <si>
    <t>dispoziţie stabilă şi echilibrată;pozitiv; degajat;bine dispus; răbdător; calm; liniştit; siguranţă de sine;puţine griji; capacitate de concentrare; raport emoţional netulburat.</t>
  </si>
  <si>
    <t>se impune activ; conştient de sine; întreprinzător; optimist; gata de a intra în acţiune; dispoziţie echilibrată;</t>
  </si>
  <si>
    <t>atitudine de rezervă; timid; dispoziţie abătută; uşor descurajat şi dezamăgit; puţin optimist; neîncredere în sine; neplăceri fizice şi tulburări psihosomatice generale; puls neregulat; ameţeli; epuizat; sensibil la schimbări meteorologice.</t>
  </si>
  <si>
    <t>Nume:</t>
  </si>
  <si>
    <t>Data:</t>
  </si>
  <si>
    <t>Test de personalitate (F.P.I)</t>
  </si>
  <si>
    <t>PROFILUL REZULTAT IN URMA TESTULUI</t>
  </si>
  <si>
    <t>TD7*</t>
  </si>
  <si>
    <t>I8*</t>
  </si>
  <si>
    <t>N1*</t>
  </si>
  <si>
    <t>A2*</t>
  </si>
  <si>
    <t>D3*</t>
  </si>
  <si>
    <t>E4*</t>
  </si>
  <si>
    <t>NLE11*</t>
  </si>
  <si>
    <t>tulburări psihosomatice minore, rezonanță activă scăzută cu consecințe somatice normale asumate</t>
  </si>
  <si>
    <t>tendințe reduse de agresiune spontane, stăpânire de sine, comportare stabilă, controlată conștient, cu trăsături de om liniștit, ponderat, echilibrat în relații</t>
  </si>
  <si>
    <t>dispoziție echilibrată, relaxare, optimism, raport emoțional bun, capacitate de concentrare și siguranță și mulțumire de sine.</t>
  </si>
  <si>
    <t>impulsivitate redusă, calm, stăpânire emoțională și toleranță ridicată la frustrare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</si>
</sst>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7"/>
      <color theme="1"/>
      <name val="Times New Roman"/>
      <family val="1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name val="Calibri"/>
      <family val="2"/>
      <scheme val="minor"/>
    </font>
    <font>
      <b/>
      <sz val="12"/>
      <color theme="1"/>
      <name val="Times New Roman"/>
      <family val="1"/>
    </font>
    <font>
      <u/>
      <sz val="12"/>
      <color theme="1"/>
      <name val="Times New Roman"/>
      <family val="1"/>
    </font>
    <font>
      <sz val="12"/>
      <color theme="1"/>
      <name val="Symbol"/>
      <family val="1"/>
      <charset val="2"/>
    </font>
    <font>
      <b/>
      <i/>
      <sz val="12"/>
      <color theme="1"/>
      <name val="Times New Roman"/>
      <family val="1"/>
    </font>
    <font>
      <b/>
      <sz val="11"/>
      <color theme="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theme="0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168">
    <xf numFmtId="0" fontId="0" fillId="0" borderId="0" xfId="0"/>
    <xf numFmtId="0" fontId="0" fillId="0" borderId="2" xfId="0" applyBorder="1"/>
    <xf numFmtId="0" fontId="0" fillId="3" borderId="2" xfId="0" applyFill="1" applyBorder="1"/>
    <xf numFmtId="0" fontId="0" fillId="4" borderId="9" xfId="0" applyFill="1" applyBorder="1"/>
    <xf numFmtId="0" fontId="0" fillId="4" borderId="2" xfId="0" applyFill="1" applyBorder="1"/>
    <xf numFmtId="0" fontId="0" fillId="5" borderId="2" xfId="0" applyFill="1" applyBorder="1"/>
    <xf numFmtId="0" fontId="0" fillId="6" borderId="2" xfId="0" applyFill="1" applyBorder="1"/>
    <xf numFmtId="0" fontId="0" fillId="7" borderId="2" xfId="0" applyFill="1" applyBorder="1"/>
    <xf numFmtId="0" fontId="0" fillId="8" borderId="2" xfId="0" applyFill="1" applyBorder="1"/>
    <xf numFmtId="0" fontId="0" fillId="9" borderId="2" xfId="0" applyFill="1" applyBorder="1"/>
    <xf numFmtId="0" fontId="0" fillId="10" borderId="2" xfId="0" applyFill="1" applyBorder="1"/>
    <xf numFmtId="0" fontId="0" fillId="11" borderId="2" xfId="0" applyFill="1" applyBorder="1"/>
    <xf numFmtId="0" fontId="0" fillId="12" borderId="2" xfId="0" applyFill="1" applyBorder="1"/>
    <xf numFmtId="0" fontId="0" fillId="13" borderId="2" xfId="0" applyFill="1" applyBorder="1"/>
    <xf numFmtId="0" fontId="0" fillId="13" borderId="9" xfId="0" applyFill="1" applyBorder="1"/>
    <xf numFmtId="0" fontId="3" fillId="3" borderId="2" xfId="0" applyFont="1" applyFill="1" applyBorder="1"/>
    <xf numFmtId="0" fontId="3" fillId="4" borderId="2" xfId="0" applyFont="1" applyFill="1" applyBorder="1"/>
    <xf numFmtId="0" fontId="3" fillId="5" borderId="2" xfId="0" applyFont="1" applyFill="1" applyBorder="1"/>
    <xf numFmtId="0" fontId="3" fillId="6" borderId="2" xfId="0" applyFont="1" applyFill="1" applyBorder="1"/>
    <xf numFmtId="0" fontId="3" fillId="7" borderId="2" xfId="0" applyFont="1" applyFill="1" applyBorder="1"/>
    <xf numFmtId="0" fontId="0" fillId="14" borderId="2" xfId="0" applyFill="1" applyBorder="1"/>
    <xf numFmtId="0" fontId="3" fillId="14" borderId="2" xfId="0" applyFont="1" applyFill="1" applyBorder="1"/>
    <xf numFmtId="0" fontId="3" fillId="8" borderId="2" xfId="0" applyFont="1" applyFill="1" applyBorder="1"/>
    <xf numFmtId="0" fontId="3" fillId="10" borderId="2" xfId="0" applyFont="1" applyFill="1" applyBorder="1"/>
    <xf numFmtId="0" fontId="3" fillId="11" borderId="2" xfId="0" applyFont="1" applyFill="1" applyBorder="1"/>
    <xf numFmtId="0" fontId="3" fillId="12" borderId="2" xfId="0" applyFont="1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13" borderId="1" xfId="0" applyFill="1" applyBorder="1"/>
    <xf numFmtId="0" fontId="0" fillId="14" borderId="1" xfId="0" applyFill="1" applyBorder="1"/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0" fillId="11" borderId="1" xfId="0" applyFill="1" applyBorder="1"/>
    <xf numFmtId="0" fontId="0" fillId="12" borderId="1" xfId="0" applyFill="1" applyBorder="1"/>
    <xf numFmtId="0" fontId="0" fillId="0" borderId="0" xfId="0" applyAlignment="1">
      <alignment vertical="top"/>
    </xf>
    <xf numFmtId="0" fontId="1" fillId="0" borderId="0" xfId="0" applyFont="1" applyAlignment="1">
      <alignment horizontal="left" vertical="top"/>
    </xf>
    <xf numFmtId="0" fontId="1" fillId="0" borderId="0" xfId="0" applyFont="1" applyAlignment="1">
      <alignment horizontal="left"/>
    </xf>
    <xf numFmtId="0" fontId="0" fillId="0" borderId="0" xfId="0" applyAlignment="1">
      <alignment horizontal="left" vertical="top"/>
    </xf>
    <xf numFmtId="0" fontId="0" fillId="3" borderId="10" xfId="0" applyFill="1" applyBorder="1"/>
    <xf numFmtId="0" fontId="4" fillId="15" borderId="1" xfId="0" applyFont="1" applyFill="1" applyBorder="1"/>
    <xf numFmtId="0" fontId="4" fillId="15" borderId="11" xfId="0" applyFont="1" applyFill="1" applyBorder="1"/>
    <xf numFmtId="0" fontId="0" fillId="0" borderId="0" xfId="0" applyBorder="1"/>
    <xf numFmtId="2" fontId="0" fillId="0" borderId="0" xfId="0" applyNumberFormat="1" applyBorder="1"/>
    <xf numFmtId="0" fontId="4" fillId="15" borderId="12" xfId="0" applyFont="1" applyFill="1" applyBorder="1"/>
    <xf numFmtId="0" fontId="0" fillId="0" borderId="1" xfId="0" applyBorder="1"/>
    <xf numFmtId="0" fontId="4" fillId="16" borderId="1" xfId="0" applyFont="1" applyFill="1" applyBorder="1" applyAlignment="1">
      <alignment horizontal="center"/>
    </xf>
    <xf numFmtId="0" fontId="0" fillId="17" borderId="0" xfId="0" applyFill="1"/>
    <xf numFmtId="0" fontId="4" fillId="17" borderId="0" xfId="0" applyFont="1" applyFill="1"/>
    <xf numFmtId="0" fontId="5" fillId="0" borderId="9" xfId="0" applyFont="1" applyFill="1" applyBorder="1" applyAlignment="1">
      <alignment horizontal="center" vertical="center"/>
    </xf>
    <xf numFmtId="1" fontId="6" fillId="0" borderId="13" xfId="0" applyNumberFormat="1" applyFont="1" applyFill="1" applyBorder="1" applyAlignment="1">
      <alignment horizontal="center"/>
    </xf>
    <xf numFmtId="1" fontId="6" fillId="0" borderId="14" xfId="0" applyNumberFormat="1" applyFont="1" applyFill="1" applyBorder="1" applyAlignment="1">
      <alignment horizontal="center"/>
    </xf>
    <xf numFmtId="1" fontId="6" fillId="0" borderId="15" xfId="0" applyNumberFormat="1" applyFont="1" applyFill="1" applyBorder="1" applyAlignment="1">
      <alignment horizontal="center"/>
    </xf>
    <xf numFmtId="1" fontId="6" fillId="0" borderId="14" xfId="0" applyNumberFormat="1" applyFont="1" applyBorder="1" applyAlignment="1">
      <alignment horizontal="center"/>
    </xf>
    <xf numFmtId="1" fontId="6" fillId="0" borderId="15" xfId="0" applyNumberFormat="1" applyFont="1" applyBorder="1" applyAlignment="1">
      <alignment horizontal="center"/>
    </xf>
    <xf numFmtId="1" fontId="6" fillId="0" borderId="13" xfId="0" applyNumberFormat="1" applyFont="1" applyBorder="1" applyAlignment="1">
      <alignment horizontal="center"/>
    </xf>
    <xf numFmtId="0" fontId="0" fillId="4" borderId="16" xfId="0" applyFill="1" applyBorder="1"/>
    <xf numFmtId="1" fontId="0" fillId="0" borderId="4" xfId="0" applyNumberFormat="1" applyFill="1" applyBorder="1"/>
    <xf numFmtId="1" fontId="0" fillId="0" borderId="17" xfId="0" applyNumberFormat="1" applyFill="1" applyBorder="1"/>
    <xf numFmtId="1" fontId="0" fillId="0" borderId="5" xfId="0" applyNumberFormat="1" applyFill="1" applyBorder="1"/>
    <xf numFmtId="1" fontId="0" fillId="0" borderId="17" xfId="0" applyNumberFormat="1" applyBorder="1"/>
    <xf numFmtId="1" fontId="0" fillId="0" borderId="5" xfId="0" applyNumberFormat="1" applyBorder="1"/>
    <xf numFmtId="1" fontId="0" fillId="0" borderId="4" xfId="0" applyNumberFormat="1" applyBorder="1"/>
    <xf numFmtId="0" fontId="7" fillId="0" borderId="0" xfId="1" applyAlignment="1" applyProtection="1"/>
    <xf numFmtId="1" fontId="6" fillId="0" borderId="0" xfId="0" applyNumberFormat="1" applyFont="1" applyBorder="1" applyAlignment="1">
      <alignment horizontal="center"/>
    </xf>
    <xf numFmtId="1" fontId="6" fillId="0" borderId="0" xfId="0" applyNumberFormat="1" applyFont="1" applyFill="1" applyBorder="1" applyAlignment="1">
      <alignment horizontal="center"/>
    </xf>
    <xf numFmtId="1" fontId="6" fillId="18" borderId="7" xfId="0" applyNumberFormat="1" applyFont="1" applyFill="1" applyBorder="1" applyAlignment="1">
      <alignment horizontal="center"/>
    </xf>
    <xf numFmtId="1" fontId="6" fillId="18" borderId="18" xfId="0" applyNumberFormat="1" applyFont="1" applyFill="1" applyBorder="1" applyAlignment="1">
      <alignment horizontal="center"/>
    </xf>
    <xf numFmtId="1" fontId="6" fillId="18" borderId="8" xfId="0" applyNumberFormat="1" applyFont="1" applyFill="1" applyBorder="1" applyAlignment="1">
      <alignment horizontal="center"/>
    </xf>
    <xf numFmtId="1" fontId="6" fillId="18" borderId="19" xfId="0" applyNumberFormat="1" applyFont="1" applyFill="1" applyBorder="1" applyAlignment="1">
      <alignment horizontal="center"/>
    </xf>
    <xf numFmtId="1" fontId="6" fillId="18" borderId="20" xfId="0" applyNumberFormat="1" applyFont="1" applyFill="1" applyBorder="1" applyAlignment="1">
      <alignment horizontal="center"/>
    </xf>
    <xf numFmtId="1" fontId="6" fillId="18" borderId="21" xfId="0" applyNumberFormat="1" applyFont="1" applyFill="1" applyBorder="1" applyAlignment="1">
      <alignment horizontal="center"/>
    </xf>
    <xf numFmtId="1" fontId="6" fillId="19" borderId="7" xfId="0" applyNumberFormat="1" applyFont="1" applyFill="1" applyBorder="1" applyAlignment="1">
      <alignment horizontal="center"/>
    </xf>
    <xf numFmtId="1" fontId="6" fillId="19" borderId="18" xfId="0" applyNumberFormat="1" applyFont="1" applyFill="1" applyBorder="1" applyAlignment="1">
      <alignment horizontal="center"/>
    </xf>
    <xf numFmtId="1" fontId="6" fillId="19" borderId="8" xfId="0" applyNumberFormat="1" applyFont="1" applyFill="1" applyBorder="1" applyAlignment="1">
      <alignment horizontal="center"/>
    </xf>
    <xf numFmtId="1" fontId="6" fillId="18" borderId="22" xfId="0" applyNumberFormat="1" applyFont="1" applyFill="1" applyBorder="1" applyAlignment="1">
      <alignment horizontal="center"/>
    </xf>
    <xf numFmtId="1" fontId="6" fillId="19" borderId="21" xfId="0" applyNumberFormat="1" applyFont="1" applyFill="1" applyBorder="1" applyAlignment="1">
      <alignment horizontal="center"/>
    </xf>
    <xf numFmtId="1" fontId="6" fillId="3" borderId="7" xfId="0" applyNumberFormat="1" applyFont="1" applyFill="1" applyBorder="1" applyAlignment="1">
      <alignment horizontal="center"/>
    </xf>
    <xf numFmtId="1" fontId="6" fillId="3" borderId="8" xfId="0" applyNumberFormat="1" applyFont="1" applyFill="1" applyBorder="1" applyAlignment="1">
      <alignment horizontal="center"/>
    </xf>
    <xf numFmtId="1" fontId="6" fillId="21" borderId="2" xfId="0" applyNumberFormat="1" applyFont="1" applyFill="1" applyBorder="1" applyAlignment="1">
      <alignment horizontal="center"/>
    </xf>
    <xf numFmtId="1" fontId="6" fillId="22" borderId="7" xfId="0" applyNumberFormat="1" applyFont="1" applyFill="1" applyBorder="1" applyAlignment="1">
      <alignment horizontal="center"/>
    </xf>
    <xf numFmtId="1" fontId="6" fillId="22" borderId="8" xfId="0" applyNumberFormat="1" applyFont="1" applyFill="1" applyBorder="1" applyAlignment="1">
      <alignment horizontal="center"/>
    </xf>
    <xf numFmtId="1" fontId="6" fillId="22" borderId="2" xfId="0" applyNumberFormat="1" applyFont="1" applyFill="1" applyBorder="1" applyAlignment="1">
      <alignment horizontal="center"/>
    </xf>
    <xf numFmtId="1" fontId="6" fillId="20" borderId="2" xfId="0" applyNumberFormat="1" applyFont="1" applyFill="1" applyBorder="1" applyAlignment="1">
      <alignment horizontal="center"/>
    </xf>
    <xf numFmtId="1" fontId="6" fillId="23" borderId="7" xfId="0" applyNumberFormat="1" applyFont="1" applyFill="1" applyBorder="1" applyAlignment="1">
      <alignment horizontal="center"/>
    </xf>
    <xf numFmtId="1" fontId="6" fillId="23" borderId="8" xfId="0" applyNumberFormat="1" applyFont="1" applyFill="1" applyBorder="1" applyAlignment="1">
      <alignment horizontal="center"/>
    </xf>
    <xf numFmtId="1" fontId="6" fillId="24" borderId="7" xfId="0" applyNumberFormat="1" applyFont="1" applyFill="1" applyBorder="1" applyAlignment="1">
      <alignment horizontal="center"/>
    </xf>
    <xf numFmtId="1" fontId="6" fillId="24" borderId="8" xfId="0" applyNumberFormat="1" applyFont="1" applyFill="1" applyBorder="1" applyAlignment="1">
      <alignment horizontal="center"/>
    </xf>
    <xf numFmtId="1" fontId="6" fillId="25" borderId="7" xfId="0" applyNumberFormat="1" applyFont="1" applyFill="1" applyBorder="1" applyAlignment="1">
      <alignment horizontal="center"/>
    </xf>
    <xf numFmtId="1" fontId="6" fillId="25" borderId="18" xfId="0" applyNumberFormat="1" applyFont="1" applyFill="1" applyBorder="1" applyAlignment="1">
      <alignment horizontal="center"/>
    </xf>
    <xf numFmtId="1" fontId="6" fillId="25" borderId="8" xfId="0" applyNumberFormat="1" applyFont="1" applyFill="1" applyBorder="1" applyAlignment="1">
      <alignment horizontal="center"/>
    </xf>
    <xf numFmtId="1" fontId="6" fillId="3" borderId="18" xfId="0" applyNumberFormat="1" applyFont="1" applyFill="1" applyBorder="1" applyAlignment="1">
      <alignment horizontal="center"/>
    </xf>
    <xf numFmtId="1" fontId="6" fillId="8" borderId="7" xfId="0" applyNumberFormat="1" applyFont="1" applyFill="1" applyBorder="1" applyAlignment="1">
      <alignment horizontal="center"/>
    </xf>
    <xf numFmtId="1" fontId="6" fillId="8" borderId="18" xfId="0" applyNumberFormat="1" applyFont="1" applyFill="1" applyBorder="1" applyAlignment="1">
      <alignment horizontal="center"/>
    </xf>
    <xf numFmtId="1" fontId="6" fillId="8" borderId="8" xfId="0" applyNumberFormat="1" applyFont="1" applyFill="1" applyBorder="1" applyAlignment="1">
      <alignment horizontal="center"/>
    </xf>
    <xf numFmtId="1" fontId="6" fillId="22" borderId="18" xfId="0" applyNumberFormat="1" applyFont="1" applyFill="1" applyBorder="1" applyAlignment="1">
      <alignment horizontal="center"/>
    </xf>
    <xf numFmtId="1" fontId="6" fillId="20" borderId="7" xfId="0" applyNumberFormat="1" applyFont="1" applyFill="1" applyBorder="1" applyAlignment="1">
      <alignment horizontal="center"/>
    </xf>
    <xf numFmtId="1" fontId="6" fillId="20" borderId="8" xfId="0" applyNumberFormat="1" applyFont="1" applyFill="1" applyBorder="1" applyAlignment="1">
      <alignment horizontal="center"/>
    </xf>
    <xf numFmtId="1" fontId="6" fillId="24" borderId="2" xfId="0" applyNumberFormat="1" applyFont="1" applyFill="1" applyBorder="1" applyAlignment="1">
      <alignment horizontal="center"/>
    </xf>
    <xf numFmtId="1" fontId="6" fillId="25" borderId="2" xfId="0" applyNumberFormat="1" applyFont="1" applyFill="1" applyBorder="1" applyAlignment="1">
      <alignment horizontal="center"/>
    </xf>
    <xf numFmtId="1" fontId="6" fillId="23" borderId="2" xfId="0" applyNumberFormat="1" applyFont="1" applyFill="1" applyBorder="1" applyAlignment="1">
      <alignment horizontal="center"/>
    </xf>
    <xf numFmtId="1" fontId="6" fillId="19" borderId="23" xfId="0" applyNumberFormat="1" applyFont="1" applyFill="1" applyBorder="1" applyAlignment="1">
      <alignment horizontal="center"/>
    </xf>
    <xf numFmtId="1" fontId="6" fillId="21" borderId="7" xfId="0" applyNumberFormat="1" applyFont="1" applyFill="1" applyBorder="1" applyAlignment="1">
      <alignment horizontal="center"/>
    </xf>
    <xf numFmtId="1" fontId="6" fillId="21" borderId="18" xfId="0" applyNumberFormat="1" applyFont="1" applyFill="1" applyBorder="1" applyAlignment="1">
      <alignment horizontal="center"/>
    </xf>
    <xf numFmtId="1" fontId="6" fillId="21" borderId="8" xfId="0" applyNumberFormat="1" applyFont="1" applyFill="1" applyBorder="1" applyAlignment="1">
      <alignment horizontal="center"/>
    </xf>
    <xf numFmtId="1" fontId="6" fillId="25" borderId="19" xfId="0" applyNumberFormat="1" applyFont="1" applyFill="1" applyBorder="1" applyAlignment="1">
      <alignment horizontal="center"/>
    </xf>
    <xf numFmtId="1" fontId="6" fillId="25" borderId="21" xfId="0" applyNumberFormat="1" applyFont="1" applyFill="1" applyBorder="1" applyAlignment="1">
      <alignment horizontal="center"/>
    </xf>
    <xf numFmtId="1" fontId="6" fillId="25" borderId="23" xfId="0" applyNumberFormat="1" applyFont="1" applyFill="1" applyBorder="1" applyAlignment="1">
      <alignment horizontal="center"/>
    </xf>
    <xf numFmtId="1" fontId="6" fillId="18" borderId="24" xfId="0" applyNumberFormat="1" applyFont="1" applyFill="1" applyBorder="1" applyAlignment="1">
      <alignment horizontal="center"/>
    </xf>
    <xf numFmtId="1" fontId="6" fillId="18" borderId="23" xfId="0" applyNumberFormat="1" applyFont="1" applyFill="1" applyBorder="1" applyAlignment="1">
      <alignment horizontal="center"/>
    </xf>
    <xf numFmtId="0" fontId="4" fillId="17" borderId="25" xfId="0" applyFont="1" applyFill="1" applyBorder="1"/>
    <xf numFmtId="0" fontId="8" fillId="26" borderId="10" xfId="0" applyFont="1" applyFill="1" applyBorder="1"/>
    <xf numFmtId="1" fontId="0" fillId="0" borderId="0" xfId="0" applyNumberFormat="1" applyFill="1" applyBorder="1"/>
    <xf numFmtId="1" fontId="6" fillId="19" borderId="26" xfId="0" applyNumberFormat="1" applyFont="1" applyFill="1" applyBorder="1" applyAlignment="1">
      <alignment horizontal="center"/>
    </xf>
    <xf numFmtId="1" fontId="6" fillId="19" borderId="24" xfId="0" applyNumberFormat="1" applyFont="1" applyFill="1" applyBorder="1" applyAlignment="1">
      <alignment horizontal="center"/>
    </xf>
    <xf numFmtId="1" fontId="6" fillId="3" borderId="26" xfId="0" applyNumberFormat="1" applyFont="1" applyFill="1" applyBorder="1" applyAlignment="1">
      <alignment horizontal="center"/>
    </xf>
    <xf numFmtId="1" fontId="6" fillId="3" borderId="24" xfId="0" applyNumberFormat="1" applyFont="1" applyFill="1" applyBorder="1" applyAlignment="1">
      <alignment horizontal="center"/>
    </xf>
    <xf numFmtId="1" fontId="6" fillId="18" borderId="0" xfId="0" applyNumberFormat="1" applyFont="1" applyFill="1" applyBorder="1" applyAlignment="1">
      <alignment horizontal="center"/>
    </xf>
    <xf numFmtId="1" fontId="6" fillId="18" borderId="18" xfId="0" applyNumberFormat="1" applyFont="1" applyFill="1" applyBorder="1" applyAlignment="1">
      <alignment horizontal="center" vertical="center"/>
    </xf>
    <xf numFmtId="1" fontId="6" fillId="18" borderId="8" xfId="0" applyNumberFormat="1" applyFont="1" applyFill="1" applyBorder="1" applyAlignment="1">
      <alignment horizontal="center" vertical="center"/>
    </xf>
    <xf numFmtId="0" fontId="6" fillId="18" borderId="7" xfId="0" applyFont="1" applyFill="1" applyBorder="1" applyAlignment="1">
      <alignment horizontal="center" vertical="center"/>
    </xf>
    <xf numFmtId="0" fontId="6" fillId="18" borderId="18" xfId="0" applyFont="1" applyFill="1" applyBorder="1" applyAlignment="1">
      <alignment horizontal="center" vertical="center"/>
    </xf>
    <xf numFmtId="0" fontId="6" fillId="18" borderId="26" xfId="0" applyFont="1" applyFill="1" applyBorder="1" applyAlignment="1">
      <alignment horizontal="center" vertical="center"/>
    </xf>
    <xf numFmtId="0" fontId="6" fillId="18" borderId="24" xfId="0" applyFont="1" applyFill="1" applyBorder="1" applyAlignment="1">
      <alignment horizontal="center" vertical="center"/>
    </xf>
    <xf numFmtId="1" fontId="6" fillId="18" borderId="24" xfId="0" applyNumberFormat="1" applyFont="1" applyFill="1" applyBorder="1" applyAlignment="1">
      <alignment horizontal="center" vertical="center"/>
    </xf>
    <xf numFmtId="1" fontId="6" fillId="19" borderId="20" xfId="0" applyNumberFormat="1" applyFont="1" applyFill="1" applyBorder="1" applyAlignment="1">
      <alignment horizontal="center"/>
    </xf>
    <xf numFmtId="1" fontId="6" fillId="18" borderId="27" xfId="0" applyNumberFormat="1" applyFont="1" applyFill="1" applyBorder="1" applyAlignment="1">
      <alignment horizontal="center"/>
    </xf>
    <xf numFmtId="1" fontId="6" fillId="19" borderId="16" xfId="0" applyNumberFormat="1" applyFont="1" applyFill="1" applyBorder="1" applyAlignment="1">
      <alignment horizontal="center"/>
    </xf>
    <xf numFmtId="1" fontId="6" fillId="3" borderId="23" xfId="0" applyNumberFormat="1" applyFont="1" applyFill="1" applyBorder="1" applyAlignment="1">
      <alignment horizontal="center"/>
    </xf>
    <xf numFmtId="1" fontId="6" fillId="25" borderId="28" xfId="0" applyNumberFormat="1" applyFont="1" applyFill="1" applyBorder="1" applyAlignment="1">
      <alignment horizontal="center"/>
    </xf>
    <xf numFmtId="1" fontId="6" fillId="18" borderId="26" xfId="0" applyNumberFormat="1" applyFont="1" applyFill="1" applyBorder="1" applyAlignment="1">
      <alignment horizontal="center"/>
    </xf>
    <xf numFmtId="1" fontId="6" fillId="24" borderId="26" xfId="0" applyNumberFormat="1" applyFont="1" applyFill="1" applyBorder="1" applyAlignment="1">
      <alignment horizontal="center"/>
    </xf>
    <xf numFmtId="0" fontId="0" fillId="0" borderId="3" xfId="0" applyBorder="1"/>
    <xf numFmtId="0" fontId="0" fillId="2" borderId="2" xfId="0" applyFill="1" applyBorder="1"/>
    <xf numFmtId="0" fontId="11" fillId="0" borderId="0" xfId="0" applyFont="1" applyAlignment="1">
      <alignment horizontal="left" vertical="top"/>
    </xf>
    <xf numFmtId="0" fontId="9" fillId="0" borderId="0" xfId="0" applyFont="1" applyAlignment="1">
      <alignment horizontal="left" vertical="top"/>
    </xf>
    <xf numFmtId="0" fontId="10" fillId="0" borderId="0" xfId="0" applyFont="1" applyAlignment="1">
      <alignment horizontal="left" vertical="top"/>
    </xf>
    <xf numFmtId="0" fontId="12" fillId="0" borderId="0" xfId="0" applyFont="1" applyAlignment="1">
      <alignment horizontal="left" vertical="top"/>
    </xf>
    <xf numFmtId="0" fontId="0" fillId="3" borderId="1" xfId="0" applyFill="1" applyBorder="1"/>
    <xf numFmtId="0" fontId="0" fillId="3" borderId="6" xfId="0" applyFill="1" applyBorder="1"/>
    <xf numFmtId="0" fontId="0" fillId="4" borderId="6" xfId="0" applyFill="1" applyBorder="1"/>
    <xf numFmtId="0" fontId="0" fillId="5" borderId="6" xfId="0" applyFill="1" applyBorder="1"/>
    <xf numFmtId="0" fontId="0" fillId="6" borderId="6" xfId="0" applyFill="1" applyBorder="1"/>
    <xf numFmtId="0" fontId="0" fillId="7" borderId="6" xfId="0" applyFill="1" applyBorder="1"/>
    <xf numFmtId="0" fontId="0" fillId="13" borderId="6" xfId="0" applyFill="1" applyBorder="1"/>
    <xf numFmtId="0" fontId="0" fillId="14" borderId="6" xfId="0" applyFill="1" applyBorder="1"/>
    <xf numFmtId="0" fontId="0" fillId="8" borderId="6" xfId="0" applyFill="1" applyBorder="1"/>
    <xf numFmtId="0" fontId="0" fillId="9" borderId="6" xfId="0" applyFill="1" applyBorder="1"/>
    <xf numFmtId="0" fontId="0" fillId="10" borderId="6" xfId="0" applyFill="1" applyBorder="1"/>
    <xf numFmtId="0" fontId="0" fillId="11" borderId="6" xfId="0" applyFill="1" applyBorder="1"/>
    <xf numFmtId="0" fontId="0" fillId="12" borderId="6" xfId="0" applyFill="1" applyBorder="1"/>
    <xf numFmtId="0" fontId="0" fillId="0" borderId="1" xfId="0" applyBorder="1" applyAlignment="1">
      <alignment horizontal="left" vertical="top"/>
    </xf>
    <xf numFmtId="0" fontId="0" fillId="2" borderId="1" xfId="0" applyFill="1" applyBorder="1" applyAlignment="1">
      <alignment horizontal="left" vertical="top"/>
    </xf>
    <xf numFmtId="0" fontId="6" fillId="26" borderId="1" xfId="0" applyFont="1" applyFill="1" applyBorder="1"/>
    <xf numFmtId="0" fontId="0" fillId="26" borderId="6" xfId="0" applyFill="1" applyBorder="1" applyAlignment="1">
      <alignment horizontal="center"/>
    </xf>
    <xf numFmtId="0" fontId="0" fillId="26" borderId="29" xfId="0" applyFill="1" applyBorder="1" applyAlignment="1">
      <alignment horizontal="center"/>
    </xf>
    <xf numFmtId="0" fontId="0" fillId="26" borderId="3" xfId="0" applyFill="1" applyBorder="1" applyAlignment="1">
      <alignment horizontal="center"/>
    </xf>
    <xf numFmtId="0" fontId="13" fillId="17" borderId="31" xfId="0" applyFont="1" applyFill="1" applyBorder="1" applyAlignment="1">
      <alignment horizontal="center" vertical="center" wrapText="1"/>
    </xf>
    <xf numFmtId="0" fontId="6" fillId="17" borderId="32" xfId="0" applyFont="1" applyFill="1" applyBorder="1" applyAlignment="1">
      <alignment horizontal="center" vertical="center"/>
    </xf>
    <xf numFmtId="0" fontId="6" fillId="17" borderId="33" xfId="0" applyFont="1" applyFill="1" applyBorder="1" applyAlignment="1">
      <alignment horizontal="center" vertical="center"/>
    </xf>
    <xf numFmtId="0" fontId="6" fillId="17" borderId="34" xfId="0" applyFont="1" applyFill="1" applyBorder="1" applyAlignment="1">
      <alignment horizontal="center" vertical="center"/>
    </xf>
    <xf numFmtId="0" fontId="6" fillId="17" borderId="30" xfId="0" applyFont="1" applyFill="1" applyBorder="1" applyAlignment="1">
      <alignment horizontal="center" vertical="center"/>
    </xf>
    <xf numFmtId="0" fontId="6" fillId="17" borderId="35" xfId="0" applyFont="1" applyFill="1" applyBorder="1" applyAlignment="1">
      <alignment horizontal="center" vertical="center"/>
    </xf>
    <xf numFmtId="0" fontId="0" fillId="0" borderId="36" xfId="0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0" fontId="4" fillId="17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1">
    <dxf>
      <font>
        <color theme="0"/>
      </font>
      <fill>
        <patternFill>
          <bgColor theme="1" tint="0.14996795556505021"/>
        </patternFill>
      </fill>
    </dxf>
  </dxfs>
  <tableStyles count="0" defaultTableStyle="TableStyleMedium2" defaultPivotStyle="PivotStyleLight16"/>
  <colors>
    <mruColors>
      <color rgb="FFFF33CC"/>
      <color rgb="FF00FF00"/>
      <color rgb="FF00CC00"/>
      <color rgb="FF00CC99"/>
      <color rgb="FF9999FF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171450</xdr:colOff>
      <xdr:row>0</xdr:row>
      <xdr:rowOff>57150</xdr:rowOff>
    </xdr:from>
    <xdr:ext cx="184731" cy="255583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71450" y="57150"/>
          <a:ext cx="184731" cy="2555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 sz="1100">
            <a:solidFill>
              <a:schemeClr val="bg1"/>
            </a:solidFill>
            <a:latin typeface="Arial Rounded MT Bold" pitchFamily="34" charset="0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T25"/>
  <sheetViews>
    <sheetView tabSelected="1" workbookViewId="0">
      <selection activeCell="B4" sqref="B4:D4"/>
    </sheetView>
  </sheetViews>
  <sheetFormatPr defaultRowHeight="15" x14ac:dyDescent="0.25"/>
  <cols>
    <col min="1" max="16384" width="9.140625" style="49"/>
  </cols>
  <sheetData>
    <row r="1" spans="1:4" x14ac:dyDescent="0.25">
      <c r="A1" s="159" t="s">
        <v>257</v>
      </c>
      <c r="B1" s="160"/>
      <c r="C1" s="160"/>
      <c r="D1" s="161"/>
    </row>
    <row r="2" spans="1:4" x14ac:dyDescent="0.25">
      <c r="A2" s="162"/>
      <c r="B2" s="163"/>
      <c r="C2" s="163"/>
      <c r="D2" s="164"/>
    </row>
    <row r="3" spans="1:4" x14ac:dyDescent="0.25">
      <c r="A3" s="155" t="s">
        <v>255</v>
      </c>
      <c r="B3" s="156"/>
      <c r="C3" s="157"/>
      <c r="D3" s="158"/>
    </row>
    <row r="4" spans="1:4" x14ac:dyDescent="0.25">
      <c r="A4" s="155" t="s">
        <v>256</v>
      </c>
      <c r="B4" s="156"/>
      <c r="C4" s="157"/>
      <c r="D4" s="158"/>
    </row>
    <row r="24" spans="16:20" x14ac:dyDescent="0.25">
      <c r="Q24" s="50"/>
    </row>
    <row r="25" spans="16:20" x14ac:dyDescent="0.25">
      <c r="P25" s="50"/>
      <c r="Q25" s="50"/>
      <c r="R25" s="50"/>
      <c r="S25" s="50"/>
      <c r="T25" s="50"/>
    </row>
  </sheetData>
  <sheetProtection formatCells="0" formatColumns="0" formatRows="0" insertColumns="0" insertRows="0" insertHyperlinks="0" deleteColumns="0" deleteRows="0" sort="0" autoFilter="0" pivotTables="0"/>
  <mergeCells count="3">
    <mergeCell ref="B4:D4"/>
    <mergeCell ref="B3:D3"/>
    <mergeCell ref="A1:D2"/>
  </mergeCell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S46"/>
  <sheetViews>
    <sheetView workbookViewId="0">
      <selection activeCell="B4" sqref="B4:D4"/>
    </sheetView>
  </sheetViews>
  <sheetFormatPr defaultRowHeight="15" x14ac:dyDescent="0.25"/>
  <sheetData>
    <row r="1" spans="1:19" ht="15.75" thickBot="1" x14ac:dyDescent="0.3">
      <c r="A1" s="42" t="s">
        <v>96</v>
      </c>
      <c r="B1" s="46" t="s">
        <v>0</v>
      </c>
      <c r="C1" s="46" t="s">
        <v>1</v>
      </c>
      <c r="D1" s="46" t="s">
        <v>97</v>
      </c>
      <c r="E1" s="43" t="s">
        <v>98</v>
      </c>
      <c r="G1" s="51"/>
      <c r="H1" s="2" t="s">
        <v>261</v>
      </c>
      <c r="I1" s="58" t="s">
        <v>262</v>
      </c>
      <c r="J1" s="5" t="s">
        <v>263</v>
      </c>
      <c r="K1" s="6" t="s">
        <v>264</v>
      </c>
      <c r="L1" s="7" t="s">
        <v>5</v>
      </c>
      <c r="M1" s="13" t="s">
        <v>7</v>
      </c>
      <c r="N1" s="20" t="s">
        <v>259</v>
      </c>
      <c r="O1" s="8" t="s">
        <v>260</v>
      </c>
      <c r="P1" s="9" t="s">
        <v>10</v>
      </c>
      <c r="Q1" s="10" t="s">
        <v>11</v>
      </c>
      <c r="R1" s="11" t="s">
        <v>265</v>
      </c>
      <c r="S1" s="12" t="s">
        <v>13</v>
      </c>
    </row>
    <row r="2" spans="1:19" ht="15.75" thickBot="1" x14ac:dyDescent="0.3">
      <c r="A2" s="41" t="s">
        <v>2</v>
      </c>
      <c r="B2" s="47">
        <f>COUNTA(Intrebari!AH8,Intrebari!AH9,Intrebari!AH10,Intrebari!AH16,Intrebari!AH21,Intrebari!AH22,Intrebari!AH27,Intrebari!AH31,Intrebari!AH37,Intrebari!AH39,Intrebari!AH42,Intrebari!AH43,Intrebari!AH48,Intrebari!AH49,Intrebari!AH54,Intrebari!AH63,Intrebari!AH67,Intrebari!AH79,Intrebari!AH80,Intrebari!AH81,Intrebari!AH104,Intrebari!AH110,Intrebari!AH112,Intrebari!AH116,Intrebari!AH126,Intrebari!AH127,Intrebari!AH153,Intrebari!AH154,Intrebari!AH159,Intrebari!AH160,Intrebari!AH170,Intrebari!AH196,Intrebari!AH197)</f>
        <v>0</v>
      </c>
      <c r="C2" s="47">
        <f>COUNTBLANK(Intrebari!AH91)</f>
        <v>1</v>
      </c>
      <c r="D2" s="47">
        <f t="shared" ref="D2:D13" si="0">B2+C2</f>
        <v>1</v>
      </c>
      <c r="E2" s="48">
        <v>34</v>
      </c>
      <c r="G2" s="52">
        <v>1</v>
      </c>
      <c r="H2" s="59" t="b">
        <f>COUNTIF(H12:H24,D2)&gt;0</f>
        <v>0</v>
      </c>
      <c r="I2" s="59" t="b">
        <f>COUNTIF(I12:I25,D3)&gt;0</f>
        <v>0</v>
      </c>
      <c r="J2" s="59" t="b">
        <f>COUNTIF(J12:J20,D4)&gt;0</f>
        <v>0</v>
      </c>
      <c r="K2" s="59" t="b">
        <f>COUNTIF(K12:K17,D5)&gt;0</f>
        <v>0</v>
      </c>
      <c r="L2" s="59" t="b">
        <f>COUNTIF(L12:L20,D6)&gt;0</f>
        <v>0</v>
      </c>
      <c r="M2" s="59" t="b">
        <f>COUNTIF(M12:M17,D7)&gt;0</f>
        <v>1</v>
      </c>
      <c r="N2" s="59" t="b">
        <f>COUNTIF(N12:N18,D8)&gt;0</f>
        <v>0</v>
      </c>
      <c r="O2" s="59" t="b">
        <f>COUNTIF(O12:O18,D9)&gt;0</f>
        <v>1</v>
      </c>
      <c r="P2" s="59" t="b">
        <f>COUNTIF(P12:P15,D10)&gt;0</f>
        <v>1</v>
      </c>
      <c r="Q2" s="59" t="b">
        <f>COUNTIF(Q12:Q18,D11)&gt;0</f>
        <v>1</v>
      </c>
      <c r="R2" s="59" t="b">
        <f>COUNTIF(R12:R17,D12)&gt;0</f>
        <v>0</v>
      </c>
      <c r="S2" s="59" t="b">
        <f>COUNTIF(S12:S21,D13)&gt;0</f>
        <v>0</v>
      </c>
    </row>
    <row r="3" spans="1:19" x14ac:dyDescent="0.25">
      <c r="A3" s="26" t="s">
        <v>3</v>
      </c>
      <c r="B3" s="47">
        <f>COUNTA(Intrebari!AH18,Intrebari!AH25,Intrebari!AH45,Intrebari!AH58,Intrebari!AH59,Intrebari!AH64,Intrebari!AH68,Intrebari!AH84,Intrebari!AH93,Intrebari!AH94,Intrebari!AH95,Intrebari!AH96,Intrebari!AH114,Intrebari!AH123,Intrebari!AH128,Intrebari!AH139,Intrebari!AH145,Intrebari!AH165,Intrebari!AH169,Intrebari!AH171,Intrebari!AH182,Intrebari!AH192,Intrebari!AH208,Intrebari!AH212)</f>
        <v>0</v>
      </c>
      <c r="C3" s="47">
        <f>COUNTBLANK(Intrebari!AH119) +COUNTBLANK(Intrebari!AH185)</f>
        <v>2</v>
      </c>
      <c r="D3" s="47">
        <f t="shared" si="0"/>
        <v>2</v>
      </c>
      <c r="E3" s="48">
        <v>26</v>
      </c>
      <c r="G3" s="53">
        <v>2</v>
      </c>
      <c r="H3" s="59" t="b">
        <f>COUNTIF(H25:H29,D2)&gt;0</f>
        <v>0</v>
      </c>
      <c r="I3" s="60" t="b">
        <f>COUNTIF(I26:I27,D3)&gt;0</f>
        <v>0</v>
      </c>
      <c r="J3" s="60" t="b">
        <f>COUNTIF(J21:J23,D4)&gt;0</f>
        <v>0</v>
      </c>
      <c r="K3" s="60" t="b">
        <f>COUNTIF(K18:K20,D5)&gt;0</f>
        <v>0</v>
      </c>
      <c r="L3" s="60" t="b">
        <f>COUNTIF(L21:L23,D6)&gt;0</f>
        <v>0</v>
      </c>
      <c r="M3" s="60" t="b">
        <f>COUNTIF(M18:M19,D7)&gt;0</f>
        <v>0</v>
      </c>
      <c r="N3" s="60" t="b">
        <f>COUNTIF(N19:N20,D8)&gt;0</f>
        <v>0</v>
      </c>
      <c r="O3" s="60" t="b">
        <f>COUNTIF(O19:O21,D9)&gt;0</f>
        <v>0</v>
      </c>
      <c r="P3" s="60" t="b">
        <f>COUNTIF(P16,D10)&gt;0</f>
        <v>0</v>
      </c>
      <c r="Q3" s="60" t="b">
        <f>COUNTIF(Q19:Q20,D11)&gt;0</f>
        <v>0</v>
      </c>
      <c r="R3" s="60" t="b">
        <f>COUNTIF(R18:R20,D12)&gt;0</f>
        <v>0</v>
      </c>
      <c r="S3" s="60" t="b">
        <f>COUNTIF(S22:S24,D13)&gt;0</f>
        <v>0</v>
      </c>
    </row>
    <row r="4" spans="1:19" ht="15.75" thickBot="1" x14ac:dyDescent="0.3">
      <c r="A4" s="27" t="s">
        <v>4</v>
      </c>
      <c r="B4" s="47">
        <f>COUNTA(Intrebari!AH6,Intrebari!AH30,Intrebari!AH39,Intrebari!AH41,Intrebari!AH52,Intrebari!AH55,Intrebari!AH56,Intrebari!AH60,Intrebari!AH77,Intrebari!AH88,Intrebari!AH89,Intrebari!AH103,Intrebari!AH108,Intrebari!AH130,Intrebari!AH138,Intrebari!AH140,Intrebari!AH147,Intrebari!AH152,Intrebari!AH157,Intrebari!AH158,Intrebari!AH164,Intrebari!AH177,Intrebari!AH187,Intrebari!AH189,Intrebari!AH193,Intrebari!AH205,Intrebari!AH206)</f>
        <v>0</v>
      </c>
      <c r="C4" s="47">
        <f>COUNTBLANK(Intrebari!AH178)</f>
        <v>1</v>
      </c>
      <c r="D4" s="47">
        <f t="shared" si="0"/>
        <v>1</v>
      </c>
      <c r="E4" s="48">
        <v>28</v>
      </c>
      <c r="G4" s="54">
        <v>3</v>
      </c>
      <c r="H4" s="61" t="b">
        <f>COUNTIF(H30:H34,D2)&gt;0</f>
        <v>0</v>
      </c>
      <c r="I4" s="61" t="b">
        <f>COUNTIF(I28:I29,D3)&gt;0</f>
        <v>0</v>
      </c>
      <c r="J4" s="61" t="b">
        <f>COUNTIF(J24:J27,D4)&gt;0</f>
        <v>0</v>
      </c>
      <c r="K4" s="61" t="b">
        <f>COUNTIF(K21:K23,D5)&gt;0</f>
        <v>0</v>
      </c>
      <c r="L4" s="61" t="b">
        <f>COUNTIF(L24:L26,D6)&gt;0</f>
        <v>0</v>
      </c>
      <c r="M4" s="61" t="b">
        <f>COUNTIF(M20:M21,D7)&gt;0</f>
        <v>0</v>
      </c>
      <c r="N4" s="61" t="b">
        <f>COUNTIF(N21:N22,D8)&gt;0</f>
        <v>0</v>
      </c>
      <c r="O4" s="61" t="b">
        <f>COUNTIF(O22:O23,D9)&gt;0</f>
        <v>0</v>
      </c>
      <c r="P4" s="61" t="b">
        <f>COUNTIF(P17:P18,D10)&gt;0</f>
        <v>0</v>
      </c>
      <c r="Q4" s="61" t="b">
        <f>COUNTIF(Q21:Q23,D11)&gt;0</f>
        <v>0</v>
      </c>
      <c r="R4" s="61" t="b">
        <f>COUNTIF(R21:R23,D12)&gt;0</f>
        <v>0</v>
      </c>
      <c r="S4" s="61" t="b">
        <f>COUNTIF(S25:S26,D13)&gt;0</f>
        <v>1</v>
      </c>
    </row>
    <row r="5" spans="1:19" x14ac:dyDescent="0.25">
      <c r="A5" s="28" t="s">
        <v>6</v>
      </c>
      <c r="B5" s="47">
        <f>COUNTA(Intrebari!AH11,Intrebari!AH17,Intrebari!AH44,Intrebari!AH46,Intrebari!AH105,Intrebari!AH122,Intrebari!AH133,Intrebari!AH136,Intrebari!AH146,Intrebari!AH149,Intrebari!AH155,Intrebari!AH162,Intrebari!AH163,Intrebari!AH175,Intrebari!AH191,Intrebari!AH194,Intrebari!AH200,Intrebari!AH203,Intrebari!AH210)</f>
        <v>0</v>
      </c>
      <c r="C5" s="47">
        <f>COUNTBLANK(Intrebari!AH61)</f>
        <v>1</v>
      </c>
      <c r="D5" s="47">
        <f t="shared" si="0"/>
        <v>1</v>
      </c>
      <c r="E5" s="48">
        <v>20</v>
      </c>
      <c r="G5" s="52">
        <v>4</v>
      </c>
      <c r="H5" s="59" t="b">
        <f>COUNTIF(H35:H37,D2)&gt;0</f>
        <v>0</v>
      </c>
      <c r="I5" s="59" t="b">
        <f>COUNTIF(I30:I31,D3)&gt;0</f>
        <v>0</v>
      </c>
      <c r="J5" s="59" t="b">
        <f>COUNTIF(J28:J30,D4)&gt;0</f>
        <v>0</v>
      </c>
      <c r="K5" s="59" t="b">
        <f>COUNTIF(K24:K26,D5)&gt;0</f>
        <v>0</v>
      </c>
      <c r="L5" s="59" t="b">
        <f>COUNTIF(L27:L29,D6)&gt;0</f>
        <v>1</v>
      </c>
      <c r="M5" s="59" t="b">
        <f>COUNTIF(M22,D7)&gt;0</f>
        <v>0</v>
      </c>
      <c r="N5" s="59" t="b">
        <f>COUNTIF(N23:N24,D8)&gt;0</f>
        <v>0</v>
      </c>
      <c r="O5" s="59" t="b">
        <f>COUNTIF(O24:O25,D9)&gt;0</f>
        <v>0</v>
      </c>
      <c r="P5" s="59" t="b">
        <f>COUNTIF(P19:P20,D10)&gt;0</f>
        <v>0</v>
      </c>
      <c r="Q5" s="59" t="b">
        <f>COUNTIF(Q24:Q25,D11)&gt;0</f>
        <v>0</v>
      </c>
      <c r="R5" s="59" t="b">
        <f>COUNTIF(R24:R27,D12)&gt;0</f>
        <v>0</v>
      </c>
      <c r="S5" s="59" t="b">
        <f>COUNTIF(S27:S28,D13)&gt;0</f>
        <v>0</v>
      </c>
    </row>
    <row r="6" spans="1:19" x14ac:dyDescent="0.25">
      <c r="A6" s="29" t="s">
        <v>5</v>
      </c>
      <c r="B6" s="47">
        <f>COUNTA(Intrebari!AH26,Intrebari!AH34,Intrebari!AH62,Intrebari!AH85,Intrebari!AH98,Intrebari!AH102,Intrebari!AH120,Intrebari!AH172,Intrebari!AH174,Intrebari!AH181,Intrebari!AH186,Intrebari!AH199)</f>
        <v>0</v>
      </c>
      <c r="C6" s="47">
        <f>COUNTBLANK(Intrebari!AH3) + COUNTBLANK(Intrebari!AH7) + COUNTBLANK(Intrebari!AH13) + COUNTBLANK(Intrebari!AH14) + COUNTBLANK(Intrebari!AH20) + COUNTBLANK(Intrebari!AH40) + COUNTBLANK(Intrebari!AH73)+ COUNTBLANK(Intrebari!AH100)+ COUNTBLANK(Intrebari!AH117)+ COUNTBLANK(Intrebari!AH125)+ COUNTBLANK(Intrebari!AH134)+ COUNTBLANK(Intrebari!AH142)+ COUNTBLANK(Intrebari!AH176)+ COUNTBLANK(Intrebari!AH180)+ COUNTBLANK(Intrebari!AH188)+ COUNTBLANK(Intrebari!AH211)</f>
        <v>16</v>
      </c>
      <c r="D6" s="47">
        <f t="shared" si="0"/>
        <v>16</v>
      </c>
      <c r="E6" s="48">
        <v>28</v>
      </c>
      <c r="G6" s="55">
        <v>5</v>
      </c>
      <c r="H6" s="62" t="b">
        <f>COUNTIF(H38:H40,D2)&gt;0</f>
        <v>0</v>
      </c>
      <c r="I6" s="62" t="b">
        <f>COUNTIF(I32:I33,D3)&gt;0</f>
        <v>0</v>
      </c>
      <c r="J6" s="62" t="b">
        <f>COUNTIF(J31:J34,D4)&gt;0</f>
        <v>0</v>
      </c>
      <c r="K6" s="62" t="b">
        <f>COUNTIF(K27:K28,D5)&gt;0</f>
        <v>0</v>
      </c>
      <c r="L6" s="62" t="b">
        <f>COUNTIF(L30:L31,D6)&gt;0</f>
        <v>0</v>
      </c>
      <c r="M6" s="62" t="b">
        <f>COUNTIF(M23:M24,D7)&gt;0</f>
        <v>0</v>
      </c>
      <c r="N6" s="62" t="b">
        <f>COUNTIF(N25:N26,D8)&gt;0</f>
        <v>0</v>
      </c>
      <c r="O6" s="62" t="b">
        <f>COUNTIF(O26:O28,D9)&gt;0</f>
        <v>0</v>
      </c>
      <c r="P6" s="62" t="b">
        <f>COUNTIF(P21,D10)&gt;0</f>
        <v>0</v>
      </c>
      <c r="Q6" s="62" t="b">
        <f>COUNTIF(Q26:Q27,D11)&gt;0</f>
        <v>0</v>
      </c>
      <c r="R6" s="62" t="b">
        <f>COUNTIF(R28:R29,D12)&gt;0</f>
        <v>0</v>
      </c>
      <c r="S6" s="62" t="b">
        <f>COUNTIF(S29:S30,D13)&gt;0</f>
        <v>0</v>
      </c>
    </row>
    <row r="7" spans="1:19" ht="15.75" thickBot="1" x14ac:dyDescent="0.3">
      <c r="A7" s="30" t="s">
        <v>7</v>
      </c>
      <c r="B7" s="47">
        <f>COUNTA(Intrebari!AH4,Intrebari!AH24,Intrebari!AH36,Intrebari!AH57,Intrebari!AH71,Intrebari!AH74,Intrebari!AH75,Intrebari!AH99,Intrebari!AH106,Intrebari!AH118,Intrebari!AH132,Intrebari!AH156,Intrebari!AH166,Intrebari!AH167,Intrebari!AH173,Intrebari!AH198,Intrebari!AH201,Intrebari!AH204,Intrebari!AH207,Intrebari!AH209)</f>
        <v>0</v>
      </c>
      <c r="C7" s="47">
        <v>0</v>
      </c>
      <c r="D7" s="47">
        <f t="shared" si="0"/>
        <v>0</v>
      </c>
      <c r="E7" s="48">
        <v>20</v>
      </c>
      <c r="G7" s="56">
        <v>6</v>
      </c>
      <c r="H7" s="63" t="b">
        <f>COUNTIF(H41:H42,D2)&gt;0</f>
        <v>0</v>
      </c>
      <c r="I7" s="63" t="b">
        <f>COUNTIF(I34,D3)&gt;0</f>
        <v>0</v>
      </c>
      <c r="J7" s="63" t="b">
        <f>COUNTIF(J35:J36,D4)&gt;0</f>
        <v>0</v>
      </c>
      <c r="K7" s="63" t="b">
        <f>COUNTIF(K29,D5)&gt;0</f>
        <v>0</v>
      </c>
      <c r="L7" s="63" t="b">
        <f>COUNTIF(L32:L33,D6)&gt;0</f>
        <v>0</v>
      </c>
      <c r="M7" s="63" t="b">
        <f>COUNTIF(M25,D7)&gt;0</f>
        <v>0</v>
      </c>
      <c r="N7" s="63" t="b">
        <f>COUNTIF(N27:N28,D8)&gt;0</f>
        <v>0</v>
      </c>
      <c r="O7" s="63" t="b">
        <f>COUNTIF(O29,D9)&gt;0</f>
        <v>0</v>
      </c>
      <c r="P7" s="63" t="b">
        <f>COUNTIF(P22:P23,D10)&gt;0</f>
        <v>0</v>
      </c>
      <c r="Q7" s="63" t="b">
        <f>COUNTIF(Q28:Q29,D11)&gt;0</f>
        <v>0</v>
      </c>
      <c r="R7" s="63" t="b">
        <f>COUNTIF(R30:R31,D12)&gt;0</f>
        <v>0</v>
      </c>
      <c r="S7" s="63" t="b">
        <f>COUNTIF(S31,D13)&gt;0</f>
        <v>0</v>
      </c>
    </row>
    <row r="8" spans="1:19" x14ac:dyDescent="0.25">
      <c r="A8" s="31" t="s">
        <v>8</v>
      </c>
      <c r="B8" s="47">
        <f>COUNTA(Intrebari!AH23,Intrebari!AH28,Intrebari!AH29,Intrebari!AH32,Intrebari!AH33,Intrebari!AH50,Intrebari!AH51,Intrebari!AH69,Intrebari!AH70,Intrebari!AH76,Intrebari!AH78,Intrebari!AH82,Intrebari!AH92,Intrebari!AH115,Intrebari!AH131,Intrebari!AH150,Intrebari!AH161,Intrebari!AH183,Intrebari!AH184)</f>
        <v>0</v>
      </c>
      <c r="C8" s="47">
        <f>COUNTBLANK(Intrebari!AH5)</f>
        <v>1</v>
      </c>
      <c r="D8" s="47">
        <f t="shared" si="0"/>
        <v>1</v>
      </c>
      <c r="E8" s="48">
        <v>20</v>
      </c>
      <c r="G8" s="57">
        <v>7</v>
      </c>
      <c r="H8" s="64" t="b">
        <f>COUNTIF(H43:H44,D2)&gt;0</f>
        <v>0</v>
      </c>
      <c r="I8" s="64" t="b">
        <f>COUNTIF(I35,D3)&gt;0</f>
        <v>0</v>
      </c>
      <c r="J8" s="64" t="b">
        <f>COUNTIF(J37:J38,D4)&gt;0</f>
        <v>0</v>
      </c>
      <c r="K8" s="64" t="b">
        <f>COUNTIF(K30,D5)&gt;0</f>
        <v>0</v>
      </c>
      <c r="L8" s="64" t="b">
        <f>COUNTIF(L34:L35,D6)&gt;0</f>
        <v>0</v>
      </c>
      <c r="M8" s="64" t="b">
        <f>COUNTIF(M26:M27,D7)&gt;0</f>
        <v>0</v>
      </c>
      <c r="N8" s="64" t="b">
        <f>COUNTIF(N29:N30,D8)&gt;0</f>
        <v>0</v>
      </c>
      <c r="O8" s="64" t="b">
        <f>COUNTIF(O30,D9)&gt;0</f>
        <v>0</v>
      </c>
      <c r="P8" s="64" t="b">
        <f>COUNTIF(P24,D10)&gt;0</f>
        <v>0</v>
      </c>
      <c r="Q8" s="64" t="b">
        <f>COUNTIF(Q30:Q31,D11)&gt;0</f>
        <v>0</v>
      </c>
      <c r="R8" s="64" t="b">
        <f>COUNTIF(R32:R33,D12)&gt;0</f>
        <v>1</v>
      </c>
      <c r="S8" s="64" t="b">
        <f>COUNTIF(S32:S33,D13)&gt;0</f>
        <v>0</v>
      </c>
    </row>
    <row r="9" spans="1:19" x14ac:dyDescent="0.25">
      <c r="A9" s="32" t="s">
        <v>9</v>
      </c>
      <c r="B9" s="47">
        <f>COUNTA(Intrebari!AB15,Intrebari!AB19,Intrebari!AB35,Intrebari!AB53,Intrebari!AB72,Intrebari!AB87,Intrebari!AB107,Intrebari!AB111,Intrebari!AB135,Intrebari!AB137,Intrebari!AB143,Intrebari!AB144,Intrebari!AB148,Intrebari!AB151,Intrebari!AB202)</f>
        <v>15</v>
      </c>
      <c r="C9" s="47">
        <f>COUNTBLANK(Intrebari!AH65) + COUNTBLANK(Intrebari!AH86) + COUNTBLANK(Intrebari!AH90)+ COUNTBLANK(Intrebari!AH124)+ COUNTBLANK(Intrebari!AH129)</f>
        <v>5</v>
      </c>
      <c r="D9" s="47">
        <f t="shared" si="0"/>
        <v>20</v>
      </c>
      <c r="E9" s="48">
        <v>20</v>
      </c>
      <c r="G9" s="55">
        <v>8</v>
      </c>
      <c r="H9" s="62" t="b">
        <f>COUNTIF(H45,D2)&gt;0</f>
        <v>1</v>
      </c>
      <c r="I9" s="62" t="b">
        <f>COUNTIF(I36,D3)&gt;0</f>
        <v>1</v>
      </c>
      <c r="J9" s="62" t="b">
        <f>COUNTIF(J39,D4)&gt;0</f>
        <v>1</v>
      </c>
      <c r="K9" s="62" t="b">
        <f>COUNTIF(K31,D5)&gt;0</f>
        <v>1</v>
      </c>
      <c r="L9" s="62" t="b">
        <f>COUNTIF(L36:L37,D6)&gt;0</f>
        <v>0</v>
      </c>
      <c r="M9" s="62" t="b">
        <f>COUNTIF(M28:M29,D7)&gt;0</f>
        <v>0</v>
      </c>
      <c r="N9" s="62" t="b">
        <f>COUNTIF(N31,D8)&gt;0</f>
        <v>1</v>
      </c>
      <c r="O9" s="62" t="b">
        <f>COUNTIF(O31,D9)&gt;0</f>
        <v>0</v>
      </c>
      <c r="P9" s="62" t="b">
        <f>COUNTIF(P25,D10)&gt;0</f>
        <v>0</v>
      </c>
      <c r="Q9" s="62" t="b">
        <f>COUNTIF(Q32,D11)&gt;0</f>
        <v>0</v>
      </c>
      <c r="R9" s="62" t="b">
        <f>COUNTIF(R34,D12)&gt;0</f>
        <v>0</v>
      </c>
      <c r="S9" s="62" t="b">
        <f>COUNTIF(S34,D13)&gt;0</f>
        <v>0</v>
      </c>
    </row>
    <row r="10" spans="1:19" ht="15.75" thickBot="1" x14ac:dyDescent="0.3">
      <c r="A10" s="33" t="s">
        <v>10</v>
      </c>
      <c r="B10" s="47">
        <f>COUNTA(Intrebari!AH12,Intrebari!AH47,Intrebari!AH66,Intrebari!AH83,Intrebari!AH97,Intrebari!AH101,Intrebari!AH109,Intrebari!AH113,Intrebari!AH121,Intrebari!AH141,Intrebari!AH168,Intrebari!AH179,Intrebari!AH190,Intrebari!AH195)</f>
        <v>0</v>
      </c>
      <c r="C10" s="47">
        <v>0</v>
      </c>
      <c r="D10" s="47">
        <f t="shared" si="0"/>
        <v>0</v>
      </c>
      <c r="E10" s="48">
        <v>14</v>
      </c>
      <c r="G10" s="56">
        <v>9</v>
      </c>
      <c r="H10" s="63" t="b">
        <f>COUNTIF(H46,D2)&gt;0</f>
        <v>0</v>
      </c>
      <c r="I10" s="63" t="b">
        <f>COUNTIF(I37:I38,D3)&gt;0</f>
        <v>0</v>
      </c>
      <c r="J10" s="63" t="b">
        <f>COUNTIF(J40,D4)&gt;0</f>
        <v>0</v>
      </c>
      <c r="K10" s="63" t="b">
        <f>COUNTIF(K32,D5)&gt;0</f>
        <v>0</v>
      </c>
      <c r="L10" s="63" t="b">
        <f>COUNTIF(L38:L40,D6)&gt;0</f>
        <v>0</v>
      </c>
      <c r="M10" s="63" t="b">
        <f>COUNTIF(M30:M32,D7)&gt;0</f>
        <v>0</v>
      </c>
      <c r="N10" s="63" t="b">
        <f>COUNTIF(N32,D8)&gt;0</f>
        <v>0</v>
      </c>
      <c r="O10" s="63" t="b">
        <f>COUNTIF(O32,D9)&gt;0</f>
        <v>0</v>
      </c>
      <c r="P10" s="63" t="b">
        <f>COUNTIF(P26,D10)&gt;0</f>
        <v>0</v>
      </c>
      <c r="Q10" s="63" t="b">
        <f>COUNTIF(Q33:Q36,D11)&gt;0</f>
        <v>0</v>
      </c>
      <c r="R10" s="63" t="b">
        <f>COUNTIF(R35:R36,D12)&gt;0</f>
        <v>0</v>
      </c>
      <c r="S10" s="63" t="b">
        <f>COUNTIF(S35:S38,D13)&gt;0</f>
        <v>0</v>
      </c>
    </row>
    <row r="11" spans="1:19" ht="15.75" thickBot="1" x14ac:dyDescent="0.3">
      <c r="A11" s="34" t="s">
        <v>11</v>
      </c>
      <c r="B11" s="47">
        <f>COUNTA(Intrebari!AH2,Intrebari!AH25,Intrebari!AH26,Intrebari!AH34,Intrebari!AH62,Intrebari!AH85,Intrebari!AH86,Intrebari!AH98,Intrebari!AH102,Intrebari!AH105,Intrebari!AH120,Intrebari!AH122,Intrebari!AH123,Intrebari!AH139,Intrebari!AH165,Intrebari!AH172,Intrebari!AH174,Intrebari!AH181,Intrebari!AH199)</f>
        <v>0</v>
      </c>
      <c r="C11" s="47">
        <f>COUNTBLANK(Intrebari!AH3) + COUNTBLANK(Intrebari!AH20)+ COUNTBLANK(Intrebari!AH117)+ COUNTBLANK(Intrebari!AH134)+ COUNTBLANK(Intrebari!AH142)</f>
        <v>5</v>
      </c>
      <c r="D11" s="47">
        <f t="shared" si="0"/>
        <v>5</v>
      </c>
      <c r="E11" s="48">
        <v>24</v>
      </c>
      <c r="G11" s="45"/>
      <c r="H11" s="114"/>
      <c r="I11" s="114"/>
      <c r="J11" s="114"/>
      <c r="K11" s="114"/>
      <c r="L11" s="114"/>
      <c r="M11" s="114"/>
      <c r="N11" s="114"/>
      <c r="O11" s="114"/>
      <c r="P11" s="114"/>
      <c r="Q11" s="114"/>
      <c r="R11" s="114"/>
      <c r="S11" s="114"/>
    </row>
    <row r="12" spans="1:19" x14ac:dyDescent="0.25">
      <c r="A12" s="35" t="s">
        <v>12</v>
      </c>
      <c r="B12" s="47">
        <f>COUNTA(Intrebari!AH30,Intrebari!AH41,Intrebari!AH52,Intrebari!AH55,Intrebari!AH56,Intrebari!AH89,Intrebari!AH103,Intrebari!AH113,Intrebari!AH138,Intrebari!AH140,Intrebari!AH152,Intrebari!AH155,Intrebari!AH157,Intrebari!AH159,Intrebari!AH163,Intrebari!AH164,Intrebari!AH168,Intrebari!AH175,Intrebari!AH189,Intrebari!AH194,Intrebari!AH200)</f>
        <v>0</v>
      </c>
      <c r="C12" s="47">
        <f>COUNTBLANK(Intrebari!AH61) + COUNTBLANK(Intrebari!AH99) + COUNTBLANK(Intrebari!AH106)</f>
        <v>3</v>
      </c>
      <c r="D12" s="47">
        <f t="shared" si="0"/>
        <v>3</v>
      </c>
      <c r="E12" s="48">
        <v>24</v>
      </c>
      <c r="H12" s="122">
        <v>34</v>
      </c>
      <c r="I12" s="124">
        <v>26</v>
      </c>
      <c r="J12" s="68">
        <v>28</v>
      </c>
      <c r="K12" s="68">
        <v>20</v>
      </c>
      <c r="L12" s="68">
        <v>0</v>
      </c>
      <c r="M12" s="71">
        <v>0</v>
      </c>
      <c r="N12" s="71">
        <v>20</v>
      </c>
      <c r="O12" s="68">
        <v>20</v>
      </c>
      <c r="P12" s="128">
        <v>0</v>
      </c>
      <c r="Q12" s="71">
        <v>0</v>
      </c>
      <c r="R12" s="68">
        <v>24</v>
      </c>
      <c r="S12" s="132">
        <v>0</v>
      </c>
    </row>
    <row r="13" spans="1:19" x14ac:dyDescent="0.25">
      <c r="A13" s="36" t="s">
        <v>13</v>
      </c>
      <c r="B13" s="47">
        <f>COUNTA(Intrebari!AH25,Intrebari!AH33,Intrebari!AH59,Intrebari!AH64,Intrebari!AH98,Intrebari!AH121,Intrebari!AH124,Intrebari!AH129,Intrebari!AH167,Intrebari!AH178,Intrebari!AH198,Intrebari!AH207)</f>
        <v>0</v>
      </c>
      <c r="C13" s="47">
        <f>COUNTBLANK(Intrebari!AH9) +COUNTBLANK(Intrebari!AH14)+COUNTBLANK(Intrebari!AH27)+COUNTBLANK(Intrebari!AH37)+COUNTBLANK(Intrebari!AH81)+COUNTBLANK(Intrebari!AH87)+COUNTBLANK(Intrebari!AH127)+COUNTBLANK(Intrebari!AH143)+COUNTBLANK(Intrebari!AH144)+COUNTBLANK(Intrebari!AH147)+COUNTBLANK(Intrebari!AH148)+COUNTBLANK(Intrebari!AH151)+COUNTBLANK(Intrebari!AH196)+COUNTBLANK(Intrebari!AH197)</f>
        <v>14</v>
      </c>
      <c r="D13" s="47">
        <f t="shared" si="0"/>
        <v>14</v>
      </c>
      <c r="E13" s="48">
        <v>26</v>
      </c>
      <c r="H13" s="123">
        <v>33</v>
      </c>
      <c r="I13" s="125">
        <v>25</v>
      </c>
      <c r="J13" s="69">
        <v>27</v>
      </c>
      <c r="K13" s="69">
        <v>19</v>
      </c>
      <c r="L13" s="69">
        <v>1</v>
      </c>
      <c r="M13" s="72">
        <v>1</v>
      </c>
      <c r="N13" s="72">
        <v>19</v>
      </c>
      <c r="O13" s="69">
        <v>19</v>
      </c>
      <c r="P13" s="119">
        <v>1</v>
      </c>
      <c r="Q13" s="72">
        <v>1</v>
      </c>
      <c r="R13" s="69">
        <v>23</v>
      </c>
      <c r="S13" s="110">
        <v>1</v>
      </c>
    </row>
    <row r="14" spans="1:19" x14ac:dyDescent="0.25">
      <c r="H14" s="123">
        <v>32</v>
      </c>
      <c r="I14" s="125">
        <v>24</v>
      </c>
      <c r="J14" s="69">
        <v>26</v>
      </c>
      <c r="K14" s="69">
        <v>18</v>
      </c>
      <c r="L14" s="69">
        <v>2</v>
      </c>
      <c r="M14" s="72">
        <v>2</v>
      </c>
      <c r="N14" s="72">
        <v>18</v>
      </c>
      <c r="O14" s="69">
        <v>18</v>
      </c>
      <c r="P14" s="119">
        <v>2</v>
      </c>
      <c r="Q14" s="72">
        <v>2</v>
      </c>
      <c r="R14" s="69">
        <v>22</v>
      </c>
      <c r="S14" s="110">
        <v>2</v>
      </c>
    </row>
    <row r="15" spans="1:19" ht="15.75" thickBot="1" x14ac:dyDescent="0.3">
      <c r="A15" s="112" t="b">
        <v>1</v>
      </c>
      <c r="F15" s="44"/>
      <c r="H15" s="120">
        <v>31</v>
      </c>
      <c r="I15" s="125">
        <v>23</v>
      </c>
      <c r="J15" s="69">
        <v>25</v>
      </c>
      <c r="K15" s="69">
        <v>17</v>
      </c>
      <c r="L15" s="69">
        <v>3</v>
      </c>
      <c r="M15" s="72">
        <v>3</v>
      </c>
      <c r="N15" s="72">
        <v>17</v>
      </c>
      <c r="O15" s="69">
        <v>17</v>
      </c>
      <c r="P15" s="77">
        <v>3</v>
      </c>
      <c r="Q15" s="72">
        <v>3</v>
      </c>
      <c r="R15" s="69">
        <v>21</v>
      </c>
      <c r="S15" s="110">
        <v>3</v>
      </c>
    </row>
    <row r="16" spans="1:19" ht="15.75" thickBot="1" x14ac:dyDescent="0.3">
      <c r="A16" s="113" t="b">
        <v>0</v>
      </c>
      <c r="F16" s="44"/>
      <c r="H16" s="120">
        <v>30</v>
      </c>
      <c r="I16" s="125">
        <v>22</v>
      </c>
      <c r="J16" s="69">
        <v>24</v>
      </c>
      <c r="K16" s="69">
        <v>16</v>
      </c>
      <c r="L16" s="69">
        <v>4</v>
      </c>
      <c r="M16" s="72">
        <v>4</v>
      </c>
      <c r="N16" s="72">
        <v>16</v>
      </c>
      <c r="O16" s="69">
        <v>16</v>
      </c>
      <c r="P16" s="129">
        <v>4</v>
      </c>
      <c r="Q16" s="72">
        <v>4</v>
      </c>
      <c r="R16" s="69">
        <v>20</v>
      </c>
      <c r="S16" s="110">
        <v>4</v>
      </c>
    </row>
    <row r="17" spans="2:19" ht="15.75" thickBot="1" x14ac:dyDescent="0.3">
      <c r="B17" s="45"/>
      <c r="C17" s="45"/>
      <c r="H17" s="120">
        <v>29</v>
      </c>
      <c r="I17" s="125">
        <v>21</v>
      </c>
      <c r="J17" s="69">
        <v>23</v>
      </c>
      <c r="K17" s="70">
        <v>15</v>
      </c>
      <c r="L17" s="69">
        <v>5</v>
      </c>
      <c r="M17" s="73">
        <v>5</v>
      </c>
      <c r="N17" s="72">
        <v>15</v>
      </c>
      <c r="O17" s="69">
        <v>15</v>
      </c>
      <c r="P17" s="117">
        <v>5</v>
      </c>
      <c r="Q17" s="72">
        <v>5</v>
      </c>
      <c r="R17" s="70">
        <v>19</v>
      </c>
      <c r="S17" s="110">
        <v>5</v>
      </c>
    </row>
    <row r="18" spans="2:19" ht="15.75" thickBot="1" x14ac:dyDescent="0.3">
      <c r="B18" s="45"/>
      <c r="C18" s="45"/>
      <c r="H18" s="120">
        <v>28</v>
      </c>
      <c r="I18" s="126">
        <v>20</v>
      </c>
      <c r="J18" s="69">
        <v>22</v>
      </c>
      <c r="K18" s="115">
        <v>14</v>
      </c>
      <c r="L18" s="69">
        <v>6</v>
      </c>
      <c r="M18" s="74">
        <v>6</v>
      </c>
      <c r="N18" s="73">
        <v>14</v>
      </c>
      <c r="O18" s="70">
        <v>14</v>
      </c>
      <c r="P18" s="130">
        <v>6</v>
      </c>
      <c r="Q18" s="70">
        <v>6</v>
      </c>
      <c r="R18" s="75">
        <v>18</v>
      </c>
      <c r="S18" s="69">
        <v>6</v>
      </c>
    </row>
    <row r="19" spans="2:19" ht="15.75" thickBot="1" x14ac:dyDescent="0.3">
      <c r="C19" s="65"/>
      <c r="H19" s="120">
        <v>27</v>
      </c>
      <c r="I19" s="126">
        <v>19</v>
      </c>
      <c r="J19" s="69">
        <v>21</v>
      </c>
      <c r="K19" s="116">
        <v>13</v>
      </c>
      <c r="L19" s="69">
        <v>7</v>
      </c>
      <c r="M19" s="76">
        <v>7</v>
      </c>
      <c r="N19" s="74">
        <v>13</v>
      </c>
      <c r="O19" s="75">
        <v>13</v>
      </c>
      <c r="P19" s="104">
        <v>7</v>
      </c>
      <c r="Q19" s="74">
        <v>7</v>
      </c>
      <c r="R19" s="75">
        <v>17</v>
      </c>
      <c r="S19" s="69">
        <v>7</v>
      </c>
    </row>
    <row r="20" spans="2:19" ht="15.75" thickBot="1" x14ac:dyDescent="0.3">
      <c r="H20" s="120">
        <v>26</v>
      </c>
      <c r="I20" s="126">
        <v>18</v>
      </c>
      <c r="J20" s="70">
        <v>20</v>
      </c>
      <c r="K20" s="103">
        <v>12</v>
      </c>
      <c r="L20" s="70">
        <v>8</v>
      </c>
      <c r="M20" s="79">
        <v>8</v>
      </c>
      <c r="N20" s="76">
        <v>12</v>
      </c>
      <c r="O20" s="75">
        <v>12</v>
      </c>
      <c r="P20" s="106">
        <v>8</v>
      </c>
      <c r="Q20" s="76">
        <v>8</v>
      </c>
      <c r="R20" s="76">
        <v>16</v>
      </c>
      <c r="S20" s="110">
        <v>8</v>
      </c>
    </row>
    <row r="21" spans="2:19" ht="15.75" thickBot="1" x14ac:dyDescent="0.3">
      <c r="H21" s="120">
        <v>25</v>
      </c>
      <c r="I21" s="126">
        <v>17</v>
      </c>
      <c r="J21" s="116">
        <v>19</v>
      </c>
      <c r="K21" s="79">
        <v>11</v>
      </c>
      <c r="L21" s="74">
        <v>9</v>
      </c>
      <c r="M21" s="80">
        <v>9</v>
      </c>
      <c r="N21" s="79">
        <v>11</v>
      </c>
      <c r="O21" s="76">
        <v>11</v>
      </c>
      <c r="P21" s="84">
        <v>9</v>
      </c>
      <c r="Q21" s="79">
        <v>9</v>
      </c>
      <c r="R21" s="79">
        <v>15</v>
      </c>
      <c r="S21" s="111">
        <v>9</v>
      </c>
    </row>
    <row r="22" spans="2:19" ht="15.75" thickBot="1" x14ac:dyDescent="0.3">
      <c r="H22" s="120">
        <v>24</v>
      </c>
      <c r="I22" s="126">
        <v>16</v>
      </c>
      <c r="J22" s="116">
        <v>18</v>
      </c>
      <c r="K22" s="93">
        <v>10</v>
      </c>
      <c r="L22" s="75">
        <v>10</v>
      </c>
      <c r="M22" s="81">
        <v>10</v>
      </c>
      <c r="N22" s="80">
        <v>10</v>
      </c>
      <c r="O22" s="79">
        <v>10</v>
      </c>
      <c r="P22" s="98">
        <v>10</v>
      </c>
      <c r="Q22" s="93">
        <v>10</v>
      </c>
      <c r="R22" s="93">
        <v>14</v>
      </c>
      <c r="S22" s="74">
        <v>10</v>
      </c>
    </row>
    <row r="23" spans="2:19" ht="15.75" thickBot="1" x14ac:dyDescent="0.3">
      <c r="H23" s="120">
        <v>23</v>
      </c>
      <c r="I23" s="126">
        <v>15</v>
      </c>
      <c r="J23" s="103">
        <v>17</v>
      </c>
      <c r="K23" s="80">
        <v>9</v>
      </c>
      <c r="L23" s="78">
        <v>11</v>
      </c>
      <c r="M23" s="82">
        <v>11</v>
      </c>
      <c r="N23" s="104">
        <v>9</v>
      </c>
      <c r="O23" s="80">
        <v>9</v>
      </c>
      <c r="P23" s="99">
        <v>11</v>
      </c>
      <c r="Q23" s="80">
        <v>11</v>
      </c>
      <c r="R23" s="80">
        <v>13</v>
      </c>
      <c r="S23" s="75">
        <v>11</v>
      </c>
    </row>
    <row r="24" spans="2:19" ht="15.75" thickBot="1" x14ac:dyDescent="0.3">
      <c r="H24" s="121">
        <v>22</v>
      </c>
      <c r="I24" s="126">
        <v>14</v>
      </c>
      <c r="J24" s="117">
        <v>16</v>
      </c>
      <c r="K24" s="104">
        <v>8</v>
      </c>
      <c r="L24" s="79">
        <v>12</v>
      </c>
      <c r="M24" s="83">
        <v>12</v>
      </c>
      <c r="N24" s="106">
        <v>8</v>
      </c>
      <c r="O24" s="104">
        <v>8</v>
      </c>
      <c r="P24" s="102">
        <v>12</v>
      </c>
      <c r="Q24" s="104">
        <v>12</v>
      </c>
      <c r="R24" s="104">
        <v>12</v>
      </c>
      <c r="S24" s="76">
        <v>12</v>
      </c>
    </row>
    <row r="25" spans="2:19" ht="15.75" thickBot="1" x14ac:dyDescent="0.3">
      <c r="H25" s="127">
        <v>21</v>
      </c>
      <c r="I25" s="121">
        <v>13</v>
      </c>
      <c r="J25" s="118">
        <v>15</v>
      </c>
      <c r="K25" s="105">
        <v>7</v>
      </c>
      <c r="L25" s="93">
        <v>13</v>
      </c>
      <c r="M25" s="85">
        <v>13</v>
      </c>
      <c r="N25" s="82">
        <v>7</v>
      </c>
      <c r="O25" s="106">
        <v>7</v>
      </c>
      <c r="P25" s="100">
        <v>13</v>
      </c>
      <c r="Q25" s="106">
        <v>13</v>
      </c>
      <c r="R25" s="105">
        <v>11</v>
      </c>
      <c r="S25" s="79">
        <v>13</v>
      </c>
    </row>
    <row r="26" spans="2:19" ht="15.75" thickBot="1" x14ac:dyDescent="0.3">
      <c r="H26" s="75">
        <v>20</v>
      </c>
      <c r="I26" s="75">
        <v>12</v>
      </c>
      <c r="J26" s="93">
        <v>14</v>
      </c>
      <c r="K26" s="106">
        <v>6</v>
      </c>
      <c r="L26" s="80">
        <v>14</v>
      </c>
      <c r="M26" s="86">
        <v>14</v>
      </c>
      <c r="N26" s="83">
        <v>6</v>
      </c>
      <c r="O26" s="82">
        <v>6</v>
      </c>
      <c r="P26" s="131">
        <v>14</v>
      </c>
      <c r="Q26" s="82">
        <v>14</v>
      </c>
      <c r="R26" s="105">
        <v>10</v>
      </c>
      <c r="S26" s="80">
        <v>14</v>
      </c>
    </row>
    <row r="27" spans="2:19" ht="15.75" thickBot="1" x14ac:dyDescent="0.3">
      <c r="H27" s="75">
        <v>19</v>
      </c>
      <c r="I27" s="78">
        <v>11</v>
      </c>
      <c r="J27" s="80">
        <v>13</v>
      </c>
      <c r="K27" s="82">
        <v>5</v>
      </c>
      <c r="L27" s="104">
        <v>15</v>
      </c>
      <c r="M27" s="87">
        <v>15</v>
      </c>
      <c r="N27" s="98">
        <v>5</v>
      </c>
      <c r="O27" s="97">
        <v>5</v>
      </c>
      <c r="P27" s="67"/>
      <c r="Q27" s="83">
        <v>15</v>
      </c>
      <c r="R27" s="106">
        <v>9</v>
      </c>
      <c r="S27" s="104">
        <v>15</v>
      </c>
    </row>
    <row r="28" spans="2:19" ht="15.75" thickBot="1" x14ac:dyDescent="0.3">
      <c r="H28" s="75">
        <v>18</v>
      </c>
      <c r="I28" s="79">
        <v>10</v>
      </c>
      <c r="J28" s="104">
        <v>12</v>
      </c>
      <c r="K28" s="83">
        <v>4</v>
      </c>
      <c r="L28" s="105">
        <v>16</v>
      </c>
      <c r="M28" s="88">
        <v>16</v>
      </c>
      <c r="N28" s="99">
        <v>4</v>
      </c>
      <c r="O28" s="83">
        <v>4</v>
      </c>
      <c r="P28" s="67"/>
      <c r="Q28" s="98">
        <v>16</v>
      </c>
      <c r="R28" s="82">
        <v>8</v>
      </c>
      <c r="S28" s="106">
        <v>16</v>
      </c>
    </row>
    <row r="29" spans="2:19" ht="15.75" thickBot="1" x14ac:dyDescent="0.3">
      <c r="H29" s="76">
        <v>17</v>
      </c>
      <c r="I29" s="80">
        <v>9</v>
      </c>
      <c r="J29" s="105">
        <v>11</v>
      </c>
      <c r="K29" s="85">
        <v>3</v>
      </c>
      <c r="L29" s="106">
        <v>17</v>
      </c>
      <c r="M29" s="89">
        <v>17</v>
      </c>
      <c r="N29" s="86">
        <v>3</v>
      </c>
      <c r="O29" s="85">
        <v>3</v>
      </c>
      <c r="P29" s="67"/>
      <c r="Q29" s="99">
        <v>17</v>
      </c>
      <c r="R29" s="83">
        <v>7</v>
      </c>
      <c r="S29" s="82">
        <v>17</v>
      </c>
    </row>
    <row r="30" spans="2:19" ht="15.75" thickBot="1" x14ac:dyDescent="0.3">
      <c r="H30" s="79">
        <v>16</v>
      </c>
      <c r="I30" s="94">
        <v>8</v>
      </c>
      <c r="J30" s="106">
        <v>10</v>
      </c>
      <c r="K30" s="102">
        <v>2</v>
      </c>
      <c r="L30" s="82">
        <v>18</v>
      </c>
      <c r="M30" s="90">
        <v>18</v>
      </c>
      <c r="N30" s="87">
        <v>2</v>
      </c>
      <c r="O30" s="102">
        <v>2</v>
      </c>
      <c r="P30" s="67"/>
      <c r="Q30" s="86">
        <v>18</v>
      </c>
      <c r="R30" s="98">
        <v>6</v>
      </c>
      <c r="S30" s="83">
        <v>18</v>
      </c>
    </row>
    <row r="31" spans="2:19" ht="15.75" thickBot="1" x14ac:dyDescent="0.3">
      <c r="H31" s="93">
        <v>15</v>
      </c>
      <c r="I31" s="96">
        <v>7</v>
      </c>
      <c r="J31" s="82">
        <v>9</v>
      </c>
      <c r="K31" s="100">
        <v>1</v>
      </c>
      <c r="L31" s="83">
        <v>19</v>
      </c>
      <c r="M31" s="91">
        <v>19</v>
      </c>
      <c r="N31" s="100">
        <v>1</v>
      </c>
      <c r="O31" s="100">
        <v>1</v>
      </c>
      <c r="P31" s="67"/>
      <c r="Q31" s="87">
        <v>19</v>
      </c>
      <c r="R31" s="99">
        <v>5</v>
      </c>
      <c r="S31" s="85">
        <v>19</v>
      </c>
    </row>
    <row r="32" spans="2:19" ht="15.75" thickBot="1" x14ac:dyDescent="0.3">
      <c r="H32" s="93">
        <v>14</v>
      </c>
      <c r="I32" s="82">
        <v>6</v>
      </c>
      <c r="J32" s="97">
        <v>8</v>
      </c>
      <c r="K32" s="101">
        <v>0</v>
      </c>
      <c r="L32" s="98">
        <v>20</v>
      </c>
      <c r="M32" s="109">
        <v>20</v>
      </c>
      <c r="N32" s="101">
        <v>0</v>
      </c>
      <c r="O32" s="101">
        <v>0</v>
      </c>
      <c r="P32" s="67"/>
      <c r="Q32" s="100">
        <v>20</v>
      </c>
      <c r="R32" s="86">
        <v>4</v>
      </c>
      <c r="S32" s="86">
        <v>20</v>
      </c>
    </row>
    <row r="33" spans="8:19" ht="15.75" thickBot="1" x14ac:dyDescent="0.3">
      <c r="H33" s="93">
        <v>13</v>
      </c>
      <c r="I33" s="83">
        <v>5</v>
      </c>
      <c r="J33" s="97">
        <v>7</v>
      </c>
      <c r="K33" s="67"/>
      <c r="L33" s="99">
        <v>21</v>
      </c>
      <c r="M33" s="67"/>
      <c r="N33" s="67"/>
      <c r="O33" s="66"/>
      <c r="P33" s="67"/>
      <c r="Q33" s="90">
        <v>21</v>
      </c>
      <c r="R33" s="87">
        <v>3</v>
      </c>
      <c r="S33" s="87">
        <v>21</v>
      </c>
    </row>
    <row r="34" spans="8:19" ht="15.75" thickBot="1" x14ac:dyDescent="0.3">
      <c r="H34" s="80">
        <v>12</v>
      </c>
      <c r="I34" s="85">
        <v>4</v>
      </c>
      <c r="J34" s="83">
        <v>6</v>
      </c>
      <c r="K34" s="67"/>
      <c r="L34" s="86">
        <v>22</v>
      </c>
      <c r="M34" s="67"/>
      <c r="N34" s="67"/>
      <c r="O34" s="66"/>
      <c r="P34" s="67"/>
      <c r="Q34" s="91">
        <v>22</v>
      </c>
      <c r="R34" s="88">
        <v>2</v>
      </c>
      <c r="S34" s="133">
        <v>22</v>
      </c>
    </row>
    <row r="35" spans="8:19" ht="15.75" thickBot="1" x14ac:dyDescent="0.3">
      <c r="H35" s="94">
        <v>11</v>
      </c>
      <c r="I35" s="102">
        <v>3</v>
      </c>
      <c r="J35" s="98">
        <v>5</v>
      </c>
      <c r="K35" s="67"/>
      <c r="L35" s="87">
        <v>23</v>
      </c>
      <c r="M35" s="67"/>
      <c r="N35" s="67"/>
      <c r="O35" s="66"/>
      <c r="P35" s="67"/>
      <c r="Q35" s="91">
        <v>23</v>
      </c>
      <c r="R35" s="107">
        <v>1</v>
      </c>
      <c r="S35" s="90">
        <v>23</v>
      </c>
    </row>
    <row r="36" spans="8:19" ht="15.75" thickBot="1" x14ac:dyDescent="0.3">
      <c r="H36" s="95">
        <v>10</v>
      </c>
      <c r="I36" s="100">
        <v>2</v>
      </c>
      <c r="J36" s="99">
        <v>4</v>
      </c>
      <c r="K36" s="67"/>
      <c r="L36" s="88">
        <v>24</v>
      </c>
      <c r="M36" s="67"/>
      <c r="N36" s="67"/>
      <c r="O36" s="66"/>
      <c r="P36" s="66"/>
      <c r="Q36" s="92">
        <v>24</v>
      </c>
      <c r="R36" s="108">
        <v>0</v>
      </c>
      <c r="S36" s="91">
        <v>24</v>
      </c>
    </row>
    <row r="37" spans="8:19" ht="15.75" thickBot="1" x14ac:dyDescent="0.3">
      <c r="H37" s="96">
        <v>9</v>
      </c>
      <c r="I37" s="107">
        <v>1</v>
      </c>
      <c r="J37" s="86">
        <v>3</v>
      </c>
      <c r="K37" s="67"/>
      <c r="L37" s="89">
        <v>25</v>
      </c>
      <c r="M37" s="67"/>
      <c r="N37" s="67"/>
      <c r="O37" s="67"/>
      <c r="P37" s="67"/>
      <c r="Q37" s="67"/>
      <c r="R37" s="67"/>
      <c r="S37" s="91">
        <v>25</v>
      </c>
    </row>
    <row r="38" spans="8:19" ht="15.75" thickBot="1" x14ac:dyDescent="0.3">
      <c r="H38" s="82">
        <v>8</v>
      </c>
      <c r="I38" s="108">
        <v>0</v>
      </c>
      <c r="J38" s="87">
        <v>2</v>
      </c>
      <c r="K38" s="67"/>
      <c r="L38" s="90">
        <v>26</v>
      </c>
      <c r="M38" s="67"/>
      <c r="N38" s="67"/>
      <c r="O38" s="67"/>
      <c r="P38" s="67"/>
      <c r="Q38" s="67"/>
      <c r="R38" s="67"/>
      <c r="S38" s="92">
        <v>26</v>
      </c>
    </row>
    <row r="39" spans="8:19" ht="15.75" thickBot="1" x14ac:dyDescent="0.3">
      <c r="H39" s="97">
        <v>7</v>
      </c>
      <c r="I39" s="67"/>
      <c r="J39" s="100">
        <v>1</v>
      </c>
      <c r="L39" s="91">
        <v>27</v>
      </c>
      <c r="M39" s="67"/>
      <c r="O39" s="67"/>
      <c r="P39" s="67"/>
      <c r="Q39" s="67"/>
      <c r="R39" s="67"/>
      <c r="S39" s="67"/>
    </row>
    <row r="40" spans="8:19" ht="15.75" thickBot="1" x14ac:dyDescent="0.3">
      <c r="H40" s="83">
        <v>6</v>
      </c>
      <c r="I40" s="67"/>
      <c r="J40" s="101">
        <v>0</v>
      </c>
      <c r="L40" s="92">
        <v>28</v>
      </c>
      <c r="M40" s="67"/>
      <c r="O40" s="67"/>
      <c r="P40" s="67"/>
      <c r="Q40" s="67"/>
      <c r="R40" s="67"/>
      <c r="S40" s="67"/>
    </row>
    <row r="41" spans="8:19" x14ac:dyDescent="0.25">
      <c r="H41" s="98">
        <v>5</v>
      </c>
      <c r="I41" s="67"/>
      <c r="J41" s="66"/>
      <c r="L41" s="67"/>
      <c r="M41" s="67"/>
      <c r="O41" s="67"/>
      <c r="P41" s="67"/>
      <c r="Q41" s="67"/>
      <c r="R41" s="67"/>
      <c r="S41" s="67"/>
    </row>
    <row r="42" spans="8:19" ht="15.75" thickBot="1" x14ac:dyDescent="0.3">
      <c r="H42" s="99">
        <v>4</v>
      </c>
      <c r="I42" s="67"/>
      <c r="J42" s="66"/>
      <c r="L42" s="67"/>
      <c r="M42" s="67"/>
      <c r="O42" s="67"/>
      <c r="P42" s="67"/>
      <c r="Q42" s="67"/>
      <c r="R42" s="67"/>
      <c r="S42" s="67"/>
    </row>
    <row r="43" spans="8:19" x14ac:dyDescent="0.25">
      <c r="H43" s="86">
        <v>3</v>
      </c>
      <c r="I43" s="67"/>
      <c r="J43" s="66"/>
      <c r="L43" s="67"/>
      <c r="M43" s="67"/>
      <c r="O43" s="67"/>
      <c r="P43" s="67"/>
      <c r="Q43" s="67"/>
      <c r="R43" s="67"/>
      <c r="S43" s="67"/>
    </row>
    <row r="44" spans="8:19" ht="15.75" thickBot="1" x14ac:dyDescent="0.3">
      <c r="H44" s="87">
        <v>2</v>
      </c>
      <c r="I44" s="67"/>
      <c r="J44" s="67"/>
      <c r="L44" s="67"/>
      <c r="M44" s="67"/>
      <c r="O44" s="67"/>
      <c r="P44" s="67"/>
      <c r="Q44" s="67"/>
      <c r="R44" s="67"/>
      <c r="S44" s="67"/>
    </row>
    <row r="45" spans="8:19" ht="15.75" thickBot="1" x14ac:dyDescent="0.3">
      <c r="H45" s="100">
        <v>1</v>
      </c>
      <c r="I45" s="67"/>
      <c r="J45" s="67"/>
      <c r="L45" s="67"/>
      <c r="M45" s="67"/>
      <c r="N45" s="67"/>
      <c r="O45" s="67"/>
      <c r="P45" s="67"/>
      <c r="Q45" s="67"/>
      <c r="R45" s="67"/>
      <c r="S45" s="67"/>
    </row>
    <row r="46" spans="8:19" ht="15.75" thickBot="1" x14ac:dyDescent="0.3">
      <c r="H46" s="101">
        <v>0</v>
      </c>
      <c r="I46" s="67"/>
      <c r="J46" s="67"/>
      <c r="L46" s="67"/>
      <c r="M46" s="67"/>
      <c r="N46" s="67"/>
      <c r="O46" s="67"/>
      <c r="P46" s="67"/>
      <c r="Q46" s="67"/>
      <c r="R46" s="67"/>
      <c r="S46" s="67"/>
    </row>
  </sheetData>
  <sheetProtection formatCells="0" formatColumns="0" formatRows="0" insertColumns="0" insertRows="0" insertHyperlinks="0" deleteColumns="0" deleteRows="0" sort="0" autoFilter="0" pivotTables="0"/>
  <customSheetViews>
    <customSheetView guid="{A0DA7257-ACEA-4803-81EB-063D2E081997}" state="hidden">
      <selection activeCell="AA24" sqref="AA24"/>
      <pageMargins left="0.7" right="0.7" top="0.75" bottom="0.75" header="0.3" footer="0.3"/>
    </customSheetView>
  </customSheetViews>
  <conditionalFormatting sqref="H2:S10">
    <cfRule type="cellIs" dxfId="0" priority="1" operator="equal">
      <formula>$A$15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F212"/>
  <sheetViews>
    <sheetView zoomScale="70" zoomScaleNormal="70" workbookViewId="0">
      <selection activeCell="B4" sqref="B4:D4"/>
    </sheetView>
  </sheetViews>
  <sheetFormatPr defaultRowHeight="15" x14ac:dyDescent="0.25"/>
  <cols>
    <col min="1" max="1" width="10.140625" customWidth="1"/>
    <col min="12" max="12" width="9.140625" customWidth="1"/>
  </cols>
  <sheetData>
    <row r="1" spans="1:32" ht="15.75" customHeight="1" thickBot="1" x14ac:dyDescent="0.3">
      <c r="A1" s="40">
        <v>1</v>
      </c>
      <c r="B1" s="39" t="s">
        <v>149</v>
      </c>
      <c r="C1" s="37"/>
      <c r="D1" s="37"/>
      <c r="U1" s="2" t="s">
        <v>2</v>
      </c>
      <c r="V1" s="3" t="s">
        <v>3</v>
      </c>
      <c r="W1" s="5" t="s">
        <v>4</v>
      </c>
      <c r="X1" s="6" t="s">
        <v>6</v>
      </c>
      <c r="Y1" s="7" t="s">
        <v>5</v>
      </c>
      <c r="Z1" s="14" t="s">
        <v>7</v>
      </c>
      <c r="AA1" s="20" t="s">
        <v>8</v>
      </c>
      <c r="AB1" s="8" t="s">
        <v>9</v>
      </c>
      <c r="AC1" s="9" t="s">
        <v>10</v>
      </c>
      <c r="AD1" s="10" t="s">
        <v>11</v>
      </c>
      <c r="AE1" s="11" t="s">
        <v>12</v>
      </c>
      <c r="AF1" s="12" t="s">
        <v>13</v>
      </c>
    </row>
    <row r="2" spans="1:32" ht="16.5" thickBot="1" x14ac:dyDescent="0.3">
      <c r="A2" s="40">
        <v>2</v>
      </c>
      <c r="B2" s="39" t="s">
        <v>95</v>
      </c>
      <c r="C2" s="37"/>
      <c r="D2" s="37"/>
      <c r="U2" s="1"/>
      <c r="V2" s="1"/>
      <c r="W2" s="1"/>
      <c r="X2" s="1"/>
      <c r="Y2" s="1"/>
      <c r="Z2" s="1"/>
      <c r="AA2" s="1"/>
      <c r="AB2" s="1"/>
      <c r="AC2" s="1"/>
      <c r="AD2" s="10" t="s">
        <v>0</v>
      </c>
      <c r="AE2" s="1"/>
      <c r="AF2" s="1"/>
    </row>
    <row r="3" spans="1:32" ht="16.5" thickBot="1" x14ac:dyDescent="0.3">
      <c r="A3" s="40">
        <v>3</v>
      </c>
      <c r="B3" s="39" t="s">
        <v>14</v>
      </c>
      <c r="C3" s="37"/>
      <c r="D3" s="37"/>
      <c r="U3" s="1"/>
      <c r="V3" s="1"/>
      <c r="W3" s="1"/>
      <c r="X3" s="1"/>
      <c r="Y3" s="19" t="s">
        <v>1</v>
      </c>
      <c r="Z3" s="1"/>
      <c r="AA3" s="1"/>
      <c r="AB3" s="1"/>
      <c r="AC3" s="1"/>
      <c r="AD3" s="23" t="s">
        <v>1</v>
      </c>
      <c r="AE3" s="1"/>
      <c r="AF3" s="1"/>
    </row>
    <row r="4" spans="1:32" ht="16.5" thickBot="1" x14ac:dyDescent="0.3">
      <c r="A4" s="40">
        <v>4</v>
      </c>
      <c r="B4" s="39" t="s">
        <v>15</v>
      </c>
      <c r="C4" s="37"/>
      <c r="D4" s="37"/>
      <c r="U4" s="1"/>
      <c r="V4" s="1"/>
      <c r="W4" s="1"/>
      <c r="X4" s="1"/>
      <c r="Y4" s="1"/>
      <c r="Z4" s="13" t="s">
        <v>0</v>
      </c>
      <c r="AA4" s="1"/>
      <c r="AB4" s="1"/>
      <c r="AC4" s="1"/>
      <c r="AD4" s="1"/>
      <c r="AE4" s="1"/>
      <c r="AF4" s="1"/>
    </row>
    <row r="5" spans="1:32" ht="16.5" thickBot="1" x14ac:dyDescent="0.3">
      <c r="A5" s="40">
        <v>5</v>
      </c>
      <c r="B5" s="39" t="s">
        <v>99</v>
      </c>
      <c r="C5" s="37"/>
      <c r="D5" s="37"/>
      <c r="U5" s="1"/>
      <c r="V5" s="1"/>
      <c r="W5" s="1"/>
      <c r="X5" s="1"/>
      <c r="Y5" s="1"/>
      <c r="Z5" s="1"/>
      <c r="AA5" s="21" t="s">
        <v>1</v>
      </c>
      <c r="AB5" s="1"/>
      <c r="AC5" s="1"/>
      <c r="AD5" s="1"/>
      <c r="AE5" s="1"/>
      <c r="AF5" s="1"/>
    </row>
    <row r="6" spans="1:32" ht="16.5" thickBot="1" x14ac:dyDescent="0.3">
      <c r="A6" s="40">
        <v>6</v>
      </c>
      <c r="B6" s="39" t="s">
        <v>100</v>
      </c>
      <c r="C6" s="37"/>
      <c r="D6" s="37"/>
      <c r="U6" s="1"/>
      <c r="V6" s="1"/>
      <c r="W6" s="5" t="s">
        <v>0</v>
      </c>
      <c r="X6" s="1"/>
      <c r="Y6" s="1"/>
      <c r="Z6" s="1"/>
      <c r="AA6" s="1"/>
      <c r="AB6" s="1"/>
      <c r="AC6" s="1"/>
      <c r="AD6" s="1"/>
      <c r="AE6" s="1"/>
      <c r="AF6" s="1"/>
    </row>
    <row r="7" spans="1:32" ht="16.5" thickBot="1" x14ac:dyDescent="0.3">
      <c r="A7" s="40">
        <v>7</v>
      </c>
      <c r="B7" s="39" t="s">
        <v>150</v>
      </c>
      <c r="C7" s="37"/>
      <c r="D7" s="37"/>
      <c r="U7" s="1"/>
      <c r="V7" s="1"/>
      <c r="W7" s="1"/>
      <c r="X7" s="1"/>
      <c r="Y7" s="19" t="s">
        <v>1</v>
      </c>
      <c r="Z7" s="1"/>
      <c r="AA7" s="1"/>
      <c r="AB7" s="1"/>
      <c r="AC7" s="1"/>
      <c r="AD7" s="1"/>
      <c r="AE7" s="1"/>
      <c r="AF7" s="1"/>
    </row>
    <row r="8" spans="1:32" ht="16.5" thickBot="1" x14ac:dyDescent="0.3">
      <c r="A8" s="40">
        <v>8</v>
      </c>
      <c r="B8" s="39" t="s">
        <v>16</v>
      </c>
      <c r="C8" s="37"/>
      <c r="D8" s="37"/>
      <c r="U8" s="2" t="s">
        <v>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</row>
    <row r="9" spans="1:32" ht="16.5" thickBot="1" x14ac:dyDescent="0.3">
      <c r="A9" s="40">
        <v>9</v>
      </c>
      <c r="B9" s="39" t="s">
        <v>151</v>
      </c>
      <c r="C9" s="37"/>
      <c r="D9" s="37"/>
      <c r="U9" s="2" t="s">
        <v>0</v>
      </c>
      <c r="V9" s="1"/>
      <c r="W9" s="1"/>
      <c r="X9" s="1"/>
      <c r="Y9" s="1"/>
      <c r="Z9" s="1"/>
      <c r="AA9" s="1"/>
      <c r="AB9" s="1"/>
      <c r="AC9" s="1"/>
      <c r="AD9" s="1"/>
      <c r="AE9" s="1"/>
      <c r="AF9" s="25" t="s">
        <v>1</v>
      </c>
    </row>
    <row r="10" spans="1:32" ht="16.5" thickBot="1" x14ac:dyDescent="0.3">
      <c r="A10" s="40">
        <v>10</v>
      </c>
      <c r="B10" s="39" t="s">
        <v>17</v>
      </c>
      <c r="C10" s="37"/>
      <c r="D10" s="37"/>
      <c r="U10" s="2" t="s">
        <v>0</v>
      </c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</row>
    <row r="11" spans="1:32" ht="16.5" thickBot="1" x14ac:dyDescent="0.3">
      <c r="A11" s="40">
        <v>11</v>
      </c>
      <c r="B11" s="39" t="s">
        <v>101</v>
      </c>
      <c r="C11" s="37"/>
      <c r="D11" s="37"/>
      <c r="U11" s="1"/>
      <c r="V11" s="1"/>
      <c r="W11" s="1"/>
      <c r="X11" s="6" t="s">
        <v>0</v>
      </c>
      <c r="Y11" s="1"/>
      <c r="Z11" s="1"/>
      <c r="AA11" s="1"/>
      <c r="AB11" s="1"/>
      <c r="AC11" s="1"/>
      <c r="AD11" s="1"/>
      <c r="AE11" s="1"/>
      <c r="AF11" s="1"/>
    </row>
    <row r="12" spans="1:32" ht="16.5" thickBot="1" x14ac:dyDescent="0.3">
      <c r="A12" s="40">
        <v>12</v>
      </c>
      <c r="B12" s="39" t="s">
        <v>18</v>
      </c>
      <c r="C12" s="37"/>
      <c r="D12" s="37"/>
      <c r="U12" s="1"/>
      <c r="V12" s="1"/>
      <c r="W12" s="1"/>
      <c r="X12" s="1"/>
      <c r="Y12" s="1"/>
      <c r="Z12" s="1"/>
      <c r="AA12" s="1"/>
      <c r="AB12" s="1"/>
      <c r="AC12" s="9" t="s">
        <v>0</v>
      </c>
      <c r="AD12" s="1"/>
      <c r="AE12" s="1"/>
      <c r="AF12" s="1"/>
    </row>
    <row r="13" spans="1:32" ht="16.5" thickBot="1" x14ac:dyDescent="0.3">
      <c r="A13" s="40">
        <v>13</v>
      </c>
      <c r="B13" s="39" t="s">
        <v>19</v>
      </c>
      <c r="C13" s="37"/>
      <c r="D13" s="37"/>
      <c r="U13" s="1"/>
      <c r="V13" s="1"/>
      <c r="W13" s="1"/>
      <c r="X13" s="1"/>
      <c r="Y13" s="19" t="s">
        <v>1</v>
      </c>
      <c r="Z13" s="1"/>
      <c r="AA13" s="1"/>
      <c r="AB13" s="1"/>
      <c r="AC13" s="1"/>
      <c r="AD13" s="1"/>
      <c r="AE13" s="1"/>
      <c r="AF13" s="1"/>
    </row>
    <row r="14" spans="1:32" ht="16.5" thickBot="1" x14ac:dyDescent="0.3">
      <c r="A14" s="40">
        <v>14</v>
      </c>
      <c r="B14" s="39" t="s">
        <v>20</v>
      </c>
      <c r="C14" s="37"/>
      <c r="D14" s="37"/>
      <c r="U14" s="1"/>
      <c r="V14" s="1"/>
      <c r="W14" s="1"/>
      <c r="X14" s="1"/>
      <c r="Y14" s="19" t="s">
        <v>1</v>
      </c>
      <c r="Z14" s="1"/>
      <c r="AA14" s="1"/>
      <c r="AB14" s="1"/>
      <c r="AC14" s="1"/>
      <c r="AD14" s="1"/>
      <c r="AE14" s="1"/>
      <c r="AF14" s="25" t="s">
        <v>1</v>
      </c>
    </row>
    <row r="15" spans="1:32" ht="16.5" thickBot="1" x14ac:dyDescent="0.3">
      <c r="A15" s="40">
        <v>15</v>
      </c>
      <c r="B15" s="39" t="s">
        <v>102</v>
      </c>
      <c r="C15" s="37"/>
      <c r="D15" s="37"/>
      <c r="U15" s="1"/>
      <c r="V15" s="1"/>
      <c r="W15" s="1"/>
      <c r="X15" s="1"/>
      <c r="Y15" s="1"/>
      <c r="Z15" s="1"/>
      <c r="AA15" s="1"/>
      <c r="AB15" s="8" t="s">
        <v>0</v>
      </c>
      <c r="AC15" s="1"/>
      <c r="AD15" s="1"/>
      <c r="AE15" s="1"/>
      <c r="AF15" s="1"/>
    </row>
    <row r="16" spans="1:32" ht="16.5" thickBot="1" x14ac:dyDescent="0.3">
      <c r="A16" s="40">
        <v>16</v>
      </c>
      <c r="B16" s="39" t="s">
        <v>152</v>
      </c>
      <c r="C16" s="37"/>
      <c r="D16" s="37"/>
      <c r="U16" s="2" t="s">
        <v>0</v>
      </c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</row>
    <row r="17" spans="1:32" ht="16.5" thickBot="1" x14ac:dyDescent="0.3">
      <c r="A17" s="40">
        <v>17</v>
      </c>
      <c r="B17" s="39" t="s">
        <v>21</v>
      </c>
      <c r="C17" s="37"/>
      <c r="D17" s="37"/>
      <c r="U17" s="1"/>
      <c r="V17" s="1"/>
      <c r="W17" s="1"/>
      <c r="X17" s="6" t="s">
        <v>0</v>
      </c>
      <c r="Y17" s="1"/>
      <c r="Z17" s="1"/>
      <c r="AA17" s="1"/>
      <c r="AB17" s="1"/>
      <c r="AC17" s="1"/>
      <c r="AD17" s="1"/>
      <c r="AE17" s="1"/>
      <c r="AF17" s="1"/>
    </row>
    <row r="18" spans="1:32" ht="16.5" thickBot="1" x14ac:dyDescent="0.3">
      <c r="A18" s="40">
        <v>18</v>
      </c>
      <c r="B18" s="39" t="s">
        <v>153</v>
      </c>
      <c r="C18" s="37"/>
      <c r="D18" s="37"/>
      <c r="U18" s="1"/>
      <c r="V18" s="4" t="s">
        <v>0</v>
      </c>
      <c r="W18" s="1"/>
      <c r="X18" s="1"/>
      <c r="Y18" s="1"/>
      <c r="Z18" s="1"/>
      <c r="AA18" s="1"/>
      <c r="AB18" s="1"/>
      <c r="AC18" s="1"/>
      <c r="AD18" s="1"/>
      <c r="AE18" s="1"/>
      <c r="AF18" s="1"/>
    </row>
    <row r="19" spans="1:32" ht="16.5" thickBot="1" x14ac:dyDescent="0.3">
      <c r="A19" s="40">
        <v>19</v>
      </c>
      <c r="B19" s="39" t="s">
        <v>22</v>
      </c>
      <c r="C19" s="37"/>
      <c r="D19" s="37"/>
      <c r="U19" s="1"/>
      <c r="V19" s="1"/>
      <c r="W19" s="1"/>
      <c r="X19" s="1"/>
      <c r="Y19" s="1"/>
      <c r="Z19" s="1"/>
      <c r="AA19" s="1"/>
      <c r="AB19" s="8" t="s">
        <v>0</v>
      </c>
      <c r="AC19" s="1"/>
      <c r="AD19" s="1"/>
      <c r="AE19" s="1"/>
      <c r="AF19" s="1"/>
    </row>
    <row r="20" spans="1:32" ht="16.5" thickBot="1" x14ac:dyDescent="0.3">
      <c r="A20" s="40">
        <v>20</v>
      </c>
      <c r="B20" s="39" t="s">
        <v>23</v>
      </c>
      <c r="C20" s="37"/>
      <c r="D20" s="37"/>
      <c r="U20" s="1"/>
      <c r="V20" s="1"/>
      <c r="W20" s="1"/>
      <c r="X20" s="1"/>
      <c r="Y20" s="19" t="s">
        <v>1</v>
      </c>
      <c r="Z20" s="1"/>
      <c r="AA20" s="1"/>
      <c r="AB20" s="1"/>
      <c r="AC20" s="1"/>
      <c r="AD20" s="23" t="s">
        <v>1</v>
      </c>
      <c r="AE20" s="1"/>
      <c r="AF20" s="1"/>
    </row>
    <row r="21" spans="1:32" ht="16.5" thickBot="1" x14ac:dyDescent="0.3">
      <c r="A21" s="40">
        <v>21</v>
      </c>
      <c r="B21" s="39" t="s">
        <v>24</v>
      </c>
      <c r="C21" s="37"/>
      <c r="D21" s="37"/>
      <c r="U21" s="2" t="s">
        <v>0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</row>
    <row r="22" spans="1:32" ht="16.5" thickBot="1" x14ac:dyDescent="0.3">
      <c r="A22" s="40">
        <v>22</v>
      </c>
      <c r="B22" s="39" t="s">
        <v>154</v>
      </c>
      <c r="C22" s="37"/>
      <c r="D22" s="37"/>
      <c r="U22" s="2" t="s">
        <v>0</v>
      </c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</row>
    <row r="23" spans="1:32" ht="16.5" thickBot="1" x14ac:dyDescent="0.3">
      <c r="A23" s="40">
        <v>23</v>
      </c>
      <c r="B23" s="39" t="s">
        <v>25</v>
      </c>
      <c r="C23" s="37"/>
      <c r="D23" s="37"/>
      <c r="U23" s="1"/>
      <c r="V23" s="1"/>
      <c r="W23" s="1"/>
      <c r="X23" s="1"/>
      <c r="Y23" s="1"/>
      <c r="Z23" s="1"/>
      <c r="AA23" s="20" t="s">
        <v>0</v>
      </c>
      <c r="AB23" s="1"/>
      <c r="AC23" s="1"/>
      <c r="AD23" s="1"/>
      <c r="AE23" s="1"/>
      <c r="AF23" s="1"/>
    </row>
    <row r="24" spans="1:32" ht="16.5" thickBot="1" x14ac:dyDescent="0.3">
      <c r="A24" s="40">
        <v>24</v>
      </c>
      <c r="B24" s="39" t="s">
        <v>103</v>
      </c>
      <c r="C24" s="37"/>
      <c r="D24" s="37"/>
      <c r="U24" s="1"/>
      <c r="V24" s="1"/>
      <c r="W24" s="1"/>
      <c r="X24" s="1"/>
      <c r="Y24" s="1"/>
      <c r="Z24" s="13" t="s">
        <v>0</v>
      </c>
      <c r="AA24" s="1"/>
      <c r="AB24" s="1"/>
      <c r="AC24" s="1"/>
      <c r="AD24" s="1"/>
      <c r="AE24" s="1"/>
      <c r="AF24" s="1"/>
    </row>
    <row r="25" spans="1:32" ht="16.5" thickBot="1" x14ac:dyDescent="0.3">
      <c r="A25" s="40">
        <v>25</v>
      </c>
      <c r="B25" s="39" t="s">
        <v>26</v>
      </c>
      <c r="C25" s="37"/>
      <c r="D25" s="37"/>
      <c r="U25" s="1"/>
      <c r="V25" s="4" t="s">
        <v>0</v>
      </c>
      <c r="W25" s="1"/>
      <c r="X25" s="1"/>
      <c r="Y25" s="1"/>
      <c r="Z25" s="1"/>
      <c r="AA25" s="1"/>
      <c r="AB25" s="1"/>
      <c r="AC25" s="1"/>
      <c r="AD25" s="10" t="s">
        <v>0</v>
      </c>
      <c r="AE25" s="1"/>
      <c r="AF25" s="12" t="s">
        <v>0</v>
      </c>
    </row>
    <row r="26" spans="1:32" ht="16.5" thickBot="1" x14ac:dyDescent="0.3">
      <c r="A26" s="40">
        <v>26</v>
      </c>
      <c r="B26" s="39" t="s">
        <v>155</v>
      </c>
      <c r="C26" s="37"/>
      <c r="D26" s="37"/>
      <c r="U26" s="1"/>
      <c r="V26" s="1"/>
      <c r="W26" s="1"/>
      <c r="X26" s="1"/>
      <c r="Y26" s="7" t="s">
        <v>0</v>
      </c>
      <c r="Z26" s="1"/>
      <c r="AA26" s="1"/>
      <c r="AB26" s="1"/>
      <c r="AC26" s="1"/>
      <c r="AD26" s="10" t="s">
        <v>0</v>
      </c>
      <c r="AE26" s="1"/>
      <c r="AF26" s="1"/>
    </row>
    <row r="27" spans="1:32" ht="16.5" thickBot="1" x14ac:dyDescent="0.3">
      <c r="A27" s="40">
        <v>27</v>
      </c>
      <c r="B27" s="39" t="s">
        <v>156</v>
      </c>
      <c r="C27" s="37"/>
      <c r="D27" s="37"/>
      <c r="U27" s="2" t="s">
        <v>0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25" t="s">
        <v>1</v>
      </c>
    </row>
    <row r="28" spans="1:32" ht="16.5" thickBot="1" x14ac:dyDescent="0.3">
      <c r="A28" s="40">
        <v>28</v>
      </c>
      <c r="B28" s="39" t="s">
        <v>157</v>
      </c>
      <c r="C28" s="37"/>
      <c r="D28" s="37"/>
      <c r="U28" s="1"/>
      <c r="V28" s="1"/>
      <c r="W28" s="1"/>
      <c r="X28" s="1"/>
      <c r="Y28" s="1"/>
      <c r="Z28" s="1"/>
      <c r="AA28" s="20" t="s">
        <v>0</v>
      </c>
      <c r="AB28" s="1"/>
      <c r="AC28" s="1"/>
      <c r="AD28" s="1"/>
      <c r="AE28" s="1"/>
      <c r="AF28" s="1"/>
    </row>
    <row r="29" spans="1:32" ht="16.5" thickBot="1" x14ac:dyDescent="0.3">
      <c r="A29" s="40">
        <v>29</v>
      </c>
      <c r="B29" s="39" t="s">
        <v>27</v>
      </c>
      <c r="C29" s="37"/>
      <c r="D29" s="37"/>
      <c r="U29" s="1"/>
      <c r="V29" s="1"/>
      <c r="W29" s="1"/>
      <c r="X29" s="1"/>
      <c r="Y29" s="1"/>
      <c r="Z29" s="1"/>
      <c r="AA29" s="20" t="s">
        <v>0</v>
      </c>
      <c r="AB29" s="1"/>
      <c r="AC29" s="1"/>
      <c r="AD29" s="1"/>
      <c r="AE29" s="1"/>
      <c r="AF29" s="1"/>
    </row>
    <row r="30" spans="1:32" ht="16.5" thickBot="1" x14ac:dyDescent="0.3">
      <c r="A30" s="40">
        <v>30</v>
      </c>
      <c r="B30" s="39" t="s">
        <v>28</v>
      </c>
      <c r="C30" s="37"/>
      <c r="D30" s="37"/>
      <c r="U30" s="1"/>
      <c r="V30" s="1"/>
      <c r="W30" s="5" t="s">
        <v>0</v>
      </c>
      <c r="X30" s="1"/>
      <c r="Y30" s="1"/>
      <c r="Z30" s="1"/>
      <c r="AA30" s="1"/>
      <c r="AB30" s="1"/>
      <c r="AC30" s="1"/>
      <c r="AD30" s="1"/>
      <c r="AE30" s="11" t="s">
        <v>0</v>
      </c>
      <c r="AF30" s="1"/>
    </row>
    <row r="31" spans="1:32" ht="16.5" thickBot="1" x14ac:dyDescent="0.3">
      <c r="A31" s="40">
        <v>31</v>
      </c>
      <c r="B31" s="39" t="s">
        <v>104</v>
      </c>
      <c r="C31" s="37"/>
      <c r="D31" s="37"/>
      <c r="U31" s="2" t="s">
        <v>0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</row>
    <row r="32" spans="1:32" ht="16.5" thickBot="1" x14ac:dyDescent="0.3">
      <c r="A32" s="40">
        <v>32</v>
      </c>
      <c r="B32" s="39" t="s">
        <v>105</v>
      </c>
      <c r="C32" s="37"/>
      <c r="D32" s="37"/>
      <c r="U32" s="1"/>
      <c r="V32" s="1"/>
      <c r="W32" s="1"/>
      <c r="X32" s="1"/>
      <c r="Y32" s="1"/>
      <c r="Z32" s="1"/>
      <c r="AA32" s="20" t="s">
        <v>0</v>
      </c>
      <c r="AB32" s="1"/>
      <c r="AC32" s="1"/>
      <c r="AD32" s="1"/>
      <c r="AE32" s="1"/>
      <c r="AF32" s="1"/>
    </row>
    <row r="33" spans="1:32" ht="16.5" thickBot="1" x14ac:dyDescent="0.3">
      <c r="A33" s="40">
        <v>33</v>
      </c>
      <c r="B33" s="39" t="s">
        <v>158</v>
      </c>
      <c r="C33" s="37"/>
      <c r="D33" s="37"/>
      <c r="U33" s="1"/>
      <c r="V33" s="1"/>
      <c r="W33" s="1"/>
      <c r="X33" s="1"/>
      <c r="Y33" s="1"/>
      <c r="Z33" s="1"/>
      <c r="AA33" s="20" t="s">
        <v>0</v>
      </c>
      <c r="AB33" s="1"/>
      <c r="AC33" s="1"/>
      <c r="AD33" s="1"/>
      <c r="AE33" s="1"/>
      <c r="AF33" s="12" t="s">
        <v>0</v>
      </c>
    </row>
    <row r="34" spans="1:32" ht="16.5" thickBot="1" x14ac:dyDescent="0.3">
      <c r="A34" s="40">
        <v>34</v>
      </c>
      <c r="B34" s="39" t="s">
        <v>29</v>
      </c>
      <c r="C34" s="37"/>
      <c r="D34" s="37"/>
      <c r="U34" s="1"/>
      <c r="V34" s="1"/>
      <c r="W34" s="1"/>
      <c r="X34" s="1"/>
      <c r="Y34" s="7" t="s">
        <v>0</v>
      </c>
      <c r="Z34" s="1"/>
      <c r="AA34" s="1"/>
      <c r="AB34" s="1"/>
      <c r="AC34" s="1"/>
      <c r="AD34" s="10" t="s">
        <v>0</v>
      </c>
      <c r="AE34" s="1"/>
      <c r="AF34" s="1"/>
    </row>
    <row r="35" spans="1:32" ht="16.5" thickBot="1" x14ac:dyDescent="0.3">
      <c r="A35" s="40">
        <v>35</v>
      </c>
      <c r="B35" s="39" t="s">
        <v>106</v>
      </c>
      <c r="C35" s="37"/>
      <c r="D35" s="37"/>
      <c r="U35" s="1"/>
      <c r="V35" s="1"/>
      <c r="W35" s="1"/>
      <c r="X35" s="1"/>
      <c r="Y35" s="1"/>
      <c r="Z35" s="1"/>
      <c r="AA35" s="1"/>
      <c r="AB35" s="8" t="s">
        <v>0</v>
      </c>
      <c r="AC35" s="1"/>
      <c r="AD35" s="1"/>
      <c r="AE35" s="1"/>
      <c r="AF35" s="1"/>
    </row>
    <row r="36" spans="1:32" ht="16.5" thickBot="1" x14ac:dyDescent="0.3">
      <c r="A36" s="40">
        <v>36</v>
      </c>
      <c r="B36" s="39" t="s">
        <v>159</v>
      </c>
      <c r="C36" s="37"/>
      <c r="D36" s="37"/>
      <c r="U36" s="1"/>
      <c r="V36" s="1"/>
      <c r="W36" s="1"/>
      <c r="X36" s="1"/>
      <c r="Y36" s="1"/>
      <c r="Z36" s="13" t="s">
        <v>0</v>
      </c>
      <c r="AA36" s="1"/>
      <c r="AB36" s="1"/>
      <c r="AC36" s="1"/>
      <c r="AD36" s="1"/>
      <c r="AE36" s="1"/>
      <c r="AF36" s="1"/>
    </row>
    <row r="37" spans="1:32" ht="16.5" thickBot="1" x14ac:dyDescent="0.3">
      <c r="A37" s="40">
        <v>37</v>
      </c>
      <c r="B37" s="39" t="s">
        <v>107</v>
      </c>
      <c r="C37" s="37"/>
      <c r="D37" s="37"/>
      <c r="U37" s="2" t="s">
        <v>0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25" t="s">
        <v>1</v>
      </c>
    </row>
    <row r="38" spans="1:32" ht="16.5" thickBot="1" x14ac:dyDescent="0.3">
      <c r="A38" s="40">
        <v>38</v>
      </c>
      <c r="B38" s="39" t="s">
        <v>160</v>
      </c>
      <c r="C38" s="37"/>
      <c r="D38" s="37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</row>
    <row r="39" spans="1:32" ht="16.5" thickBot="1" x14ac:dyDescent="0.3">
      <c r="A39" s="40">
        <v>39</v>
      </c>
      <c r="B39" s="39" t="s">
        <v>161</v>
      </c>
      <c r="C39" s="37"/>
      <c r="D39" s="37"/>
      <c r="U39" s="2" t="s">
        <v>0</v>
      </c>
      <c r="V39" s="1"/>
      <c r="W39" s="5" t="s">
        <v>0</v>
      </c>
      <c r="X39" s="1"/>
      <c r="Y39" s="1"/>
      <c r="Z39" s="1"/>
      <c r="AA39" s="1"/>
      <c r="AB39" s="1"/>
      <c r="AC39" s="1"/>
      <c r="AD39" s="1"/>
      <c r="AE39" s="1"/>
      <c r="AF39" s="1"/>
    </row>
    <row r="40" spans="1:32" ht="16.5" thickBot="1" x14ac:dyDescent="0.3">
      <c r="A40" s="40">
        <v>40</v>
      </c>
      <c r="B40" s="39" t="s">
        <v>162</v>
      </c>
      <c r="C40" s="37"/>
      <c r="D40" s="37"/>
      <c r="U40" s="1"/>
      <c r="V40" s="1"/>
      <c r="W40" s="1"/>
      <c r="X40" s="1"/>
      <c r="Y40" s="19" t="s">
        <v>1</v>
      </c>
      <c r="Z40" s="1"/>
      <c r="AA40" s="1"/>
      <c r="AB40" s="1"/>
      <c r="AC40" s="1"/>
      <c r="AD40" s="1"/>
      <c r="AE40" s="1"/>
      <c r="AF40" s="1"/>
    </row>
    <row r="41" spans="1:32" ht="16.5" thickBot="1" x14ac:dyDescent="0.3">
      <c r="A41" s="40">
        <v>41</v>
      </c>
      <c r="B41" s="39" t="s">
        <v>30</v>
      </c>
      <c r="C41" s="37"/>
      <c r="D41" s="37"/>
      <c r="U41" s="1"/>
      <c r="V41" s="1"/>
      <c r="W41" s="5" t="s">
        <v>0</v>
      </c>
      <c r="X41" s="1"/>
      <c r="Y41" s="1"/>
      <c r="Z41" s="1"/>
      <c r="AA41" s="1"/>
      <c r="AB41" s="1"/>
      <c r="AC41" s="1"/>
      <c r="AD41" s="1"/>
      <c r="AE41" s="11" t="s">
        <v>0</v>
      </c>
      <c r="AF41" s="1"/>
    </row>
    <row r="42" spans="1:32" ht="16.5" thickBot="1" x14ac:dyDescent="0.3">
      <c r="A42" s="40">
        <v>42</v>
      </c>
      <c r="B42" s="39" t="s">
        <v>163</v>
      </c>
      <c r="C42" s="37"/>
      <c r="D42" s="37"/>
      <c r="U42" s="2" t="s">
        <v>0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</row>
    <row r="43" spans="1:32" ht="16.5" thickBot="1" x14ac:dyDescent="0.3">
      <c r="A43" s="40">
        <v>43</v>
      </c>
      <c r="B43" s="39" t="s">
        <v>31</v>
      </c>
      <c r="C43" s="37"/>
      <c r="D43" s="37"/>
      <c r="U43" s="2" t="s">
        <v>0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</row>
    <row r="44" spans="1:32" ht="16.5" thickBot="1" x14ac:dyDescent="0.3">
      <c r="A44" s="40">
        <v>44</v>
      </c>
      <c r="B44" s="39" t="s">
        <v>164</v>
      </c>
      <c r="C44" s="37"/>
      <c r="D44" s="37"/>
      <c r="U44" s="1"/>
      <c r="V44" s="1"/>
      <c r="W44" s="1"/>
      <c r="X44" s="6" t="s">
        <v>0</v>
      </c>
      <c r="Y44" s="1"/>
      <c r="Z44" s="1"/>
      <c r="AA44" s="1"/>
      <c r="AB44" s="1"/>
      <c r="AC44" s="1"/>
      <c r="AD44" s="1"/>
      <c r="AE44" s="1"/>
      <c r="AF44" s="1"/>
    </row>
    <row r="45" spans="1:32" ht="16.5" thickBot="1" x14ac:dyDescent="0.3">
      <c r="A45" s="40">
        <v>45</v>
      </c>
      <c r="B45" s="39" t="s">
        <v>165</v>
      </c>
      <c r="C45" s="37"/>
      <c r="D45" s="37"/>
      <c r="U45" s="1"/>
      <c r="V45" s="4" t="s">
        <v>0</v>
      </c>
      <c r="W45" s="1"/>
      <c r="X45" s="1"/>
      <c r="Y45" s="1"/>
      <c r="Z45" s="1"/>
      <c r="AA45" s="1"/>
      <c r="AB45" s="1"/>
      <c r="AC45" s="1"/>
      <c r="AD45" s="1"/>
      <c r="AE45" s="1"/>
      <c r="AF45" s="1"/>
    </row>
    <row r="46" spans="1:32" ht="16.5" thickBot="1" x14ac:dyDescent="0.3">
      <c r="A46" s="40">
        <v>46</v>
      </c>
      <c r="B46" s="39" t="s">
        <v>108</v>
      </c>
      <c r="C46" s="37"/>
      <c r="D46" s="37"/>
      <c r="U46" s="1"/>
      <c r="V46" s="1"/>
      <c r="W46" s="1"/>
      <c r="X46" s="6" t="s">
        <v>0</v>
      </c>
      <c r="Y46" s="1"/>
      <c r="Z46" s="1"/>
      <c r="AA46" s="1"/>
      <c r="AB46" s="1"/>
      <c r="AC46" s="1"/>
      <c r="AD46" s="1"/>
      <c r="AE46" s="1"/>
      <c r="AF46" s="1"/>
    </row>
    <row r="47" spans="1:32" ht="16.5" thickBot="1" x14ac:dyDescent="0.3">
      <c r="A47" s="40">
        <v>47</v>
      </c>
      <c r="B47" s="39" t="s">
        <v>166</v>
      </c>
      <c r="C47" s="37"/>
      <c r="D47" s="37"/>
      <c r="U47" s="1"/>
      <c r="V47" s="1"/>
      <c r="W47" s="1"/>
      <c r="X47" s="1"/>
      <c r="Y47" s="1"/>
      <c r="Z47" s="1"/>
      <c r="AA47" s="1"/>
      <c r="AB47" s="1"/>
      <c r="AC47" s="9" t="s">
        <v>0</v>
      </c>
      <c r="AD47" s="1"/>
      <c r="AE47" s="1"/>
      <c r="AF47" s="1"/>
    </row>
    <row r="48" spans="1:32" ht="16.5" thickBot="1" x14ac:dyDescent="0.3">
      <c r="A48" s="40">
        <v>48</v>
      </c>
      <c r="B48" s="39" t="s">
        <v>109</v>
      </c>
      <c r="C48" s="37"/>
      <c r="D48" s="37"/>
      <c r="U48" s="2" t="s">
        <v>0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</row>
    <row r="49" spans="1:32" ht="16.5" thickBot="1" x14ac:dyDescent="0.3">
      <c r="A49" s="40">
        <v>49</v>
      </c>
      <c r="B49" s="39" t="s">
        <v>167</v>
      </c>
      <c r="C49" s="37"/>
      <c r="D49" s="37"/>
      <c r="U49" s="2" t="s">
        <v>0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</row>
    <row r="50" spans="1:32" ht="16.5" thickBot="1" x14ac:dyDescent="0.3">
      <c r="A50" s="40">
        <v>50</v>
      </c>
      <c r="B50" s="39" t="s">
        <v>168</v>
      </c>
      <c r="C50" s="37"/>
      <c r="D50" s="37"/>
      <c r="U50" s="1"/>
      <c r="V50" s="1"/>
      <c r="W50" s="1"/>
      <c r="X50" s="1"/>
      <c r="Y50" s="1"/>
      <c r="Z50" s="1"/>
      <c r="AA50" s="20" t="s">
        <v>0</v>
      </c>
      <c r="AB50" s="1"/>
      <c r="AC50" s="1"/>
      <c r="AD50" s="1"/>
      <c r="AE50" s="1"/>
      <c r="AF50" s="1"/>
    </row>
    <row r="51" spans="1:32" ht="16.5" thickBot="1" x14ac:dyDescent="0.3">
      <c r="A51" s="40">
        <v>51</v>
      </c>
      <c r="B51" s="39" t="s">
        <v>32</v>
      </c>
      <c r="C51" s="37"/>
      <c r="D51" s="37"/>
      <c r="U51" s="1"/>
      <c r="V51" s="1"/>
      <c r="W51" s="1"/>
      <c r="X51" s="1"/>
      <c r="Y51" s="1"/>
      <c r="Z51" s="1"/>
      <c r="AA51" s="20" t="s">
        <v>0</v>
      </c>
      <c r="AB51" s="1"/>
      <c r="AC51" s="1"/>
      <c r="AD51" s="1"/>
      <c r="AE51" s="1"/>
      <c r="AF51" s="1"/>
    </row>
    <row r="52" spans="1:32" ht="16.5" thickBot="1" x14ac:dyDescent="0.3">
      <c r="A52" s="40">
        <v>52</v>
      </c>
      <c r="B52" s="39" t="s">
        <v>169</v>
      </c>
      <c r="C52" s="37"/>
      <c r="D52" s="37"/>
      <c r="U52" s="1"/>
      <c r="V52" s="1"/>
      <c r="W52" s="5" t="s">
        <v>0</v>
      </c>
      <c r="X52" s="1"/>
      <c r="Y52" s="1"/>
      <c r="Z52" s="1"/>
      <c r="AA52" s="1"/>
      <c r="AB52" s="1"/>
      <c r="AC52" s="1"/>
      <c r="AD52" s="1"/>
      <c r="AE52" s="11" t="s">
        <v>0</v>
      </c>
      <c r="AF52" s="1"/>
    </row>
    <row r="53" spans="1:32" ht="16.5" thickBot="1" x14ac:dyDescent="0.3">
      <c r="A53" s="40">
        <v>53</v>
      </c>
      <c r="B53" s="39" t="s">
        <v>33</v>
      </c>
      <c r="C53" s="37"/>
      <c r="D53" s="37"/>
      <c r="U53" s="1"/>
      <c r="V53" s="1"/>
      <c r="W53" s="1"/>
      <c r="X53" s="1"/>
      <c r="Y53" s="1"/>
      <c r="Z53" s="1"/>
      <c r="AA53" s="1"/>
      <c r="AB53" s="8" t="s">
        <v>0</v>
      </c>
      <c r="AC53" s="1"/>
      <c r="AD53" s="1"/>
      <c r="AE53" s="1"/>
      <c r="AF53" s="1"/>
    </row>
    <row r="54" spans="1:32" ht="16.5" thickBot="1" x14ac:dyDescent="0.3">
      <c r="A54" s="40">
        <v>54</v>
      </c>
      <c r="B54" s="39" t="s">
        <v>34</v>
      </c>
      <c r="C54" s="37"/>
      <c r="D54" s="37"/>
      <c r="U54" s="2" t="s">
        <v>0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</row>
    <row r="55" spans="1:32" ht="16.5" thickBot="1" x14ac:dyDescent="0.3">
      <c r="A55" s="40">
        <v>55</v>
      </c>
      <c r="B55" s="39" t="s">
        <v>170</v>
      </c>
      <c r="C55" s="37"/>
      <c r="D55" s="37"/>
      <c r="U55" s="1"/>
      <c r="V55" s="1"/>
      <c r="W55" s="5" t="s">
        <v>0</v>
      </c>
      <c r="X55" s="1"/>
      <c r="Y55" s="1"/>
      <c r="Z55" s="1"/>
      <c r="AA55" s="1"/>
      <c r="AB55" s="1"/>
      <c r="AC55" s="1"/>
      <c r="AD55" s="1"/>
      <c r="AE55" s="11" t="s">
        <v>0</v>
      </c>
      <c r="AF55" s="1"/>
    </row>
    <row r="56" spans="1:32" ht="16.5" thickBot="1" x14ac:dyDescent="0.3">
      <c r="A56" s="40">
        <v>56</v>
      </c>
      <c r="B56" s="39" t="s">
        <v>171</v>
      </c>
      <c r="C56" s="37"/>
      <c r="D56" s="37"/>
      <c r="U56" s="1"/>
      <c r="V56" s="1"/>
      <c r="W56" s="5" t="s">
        <v>0</v>
      </c>
      <c r="X56" s="1"/>
      <c r="Y56" s="1"/>
      <c r="Z56" s="1"/>
      <c r="AA56" s="1"/>
      <c r="AB56" s="1"/>
      <c r="AC56" s="1"/>
      <c r="AD56" s="1"/>
      <c r="AE56" s="11" t="s">
        <v>0</v>
      </c>
      <c r="AF56" s="1"/>
    </row>
    <row r="57" spans="1:32" ht="16.5" thickBot="1" x14ac:dyDescent="0.3">
      <c r="A57" s="40">
        <v>57</v>
      </c>
      <c r="B57" s="39" t="s">
        <v>172</v>
      </c>
      <c r="C57" s="37"/>
      <c r="D57" s="37"/>
      <c r="U57" s="1"/>
      <c r="V57" s="1"/>
      <c r="W57" s="1"/>
      <c r="X57" s="1"/>
      <c r="Y57" s="1"/>
      <c r="Z57" s="13" t="s">
        <v>0</v>
      </c>
      <c r="AA57" s="1"/>
      <c r="AB57" s="1"/>
      <c r="AC57" s="1"/>
      <c r="AD57" s="1"/>
      <c r="AE57" s="1"/>
      <c r="AF57" s="1"/>
    </row>
    <row r="58" spans="1:32" ht="16.5" thickBot="1" x14ac:dyDescent="0.3">
      <c r="A58" s="40">
        <v>58</v>
      </c>
      <c r="B58" s="39" t="s">
        <v>35</v>
      </c>
      <c r="C58" s="37"/>
      <c r="D58" s="37"/>
      <c r="U58" s="1"/>
      <c r="V58" s="4" t="s">
        <v>0</v>
      </c>
      <c r="W58" s="1"/>
      <c r="X58" s="1"/>
      <c r="Y58" s="1"/>
      <c r="Z58" s="1"/>
      <c r="AA58" s="1"/>
      <c r="AB58" s="1"/>
      <c r="AC58" s="1"/>
      <c r="AD58" s="1"/>
      <c r="AE58" s="1"/>
      <c r="AF58" s="1"/>
    </row>
    <row r="59" spans="1:32" ht="16.5" thickBot="1" x14ac:dyDescent="0.3">
      <c r="A59" s="40">
        <v>59</v>
      </c>
      <c r="B59" s="39" t="s">
        <v>36</v>
      </c>
      <c r="C59" s="37"/>
      <c r="D59" s="37"/>
      <c r="U59" s="1"/>
      <c r="V59" s="4" t="s">
        <v>0</v>
      </c>
      <c r="W59" s="1"/>
      <c r="X59" s="1"/>
      <c r="Y59" s="1"/>
      <c r="Z59" s="1"/>
      <c r="AA59" s="1"/>
      <c r="AB59" s="1"/>
      <c r="AC59" s="1"/>
      <c r="AD59" s="1"/>
      <c r="AE59" s="1"/>
      <c r="AF59" s="12" t="s">
        <v>0</v>
      </c>
    </row>
    <row r="60" spans="1:32" ht="16.5" thickBot="1" x14ac:dyDescent="0.3">
      <c r="A60" s="40">
        <v>60</v>
      </c>
      <c r="B60" s="39" t="s">
        <v>173</v>
      </c>
      <c r="C60" s="37"/>
      <c r="D60" s="37"/>
      <c r="U60" s="1"/>
      <c r="V60" s="1"/>
      <c r="W60" s="5" t="s">
        <v>0</v>
      </c>
      <c r="X60" s="1"/>
      <c r="Y60" s="1"/>
      <c r="Z60" s="1"/>
      <c r="AA60" s="1"/>
      <c r="AB60" s="1"/>
      <c r="AC60" s="1"/>
      <c r="AD60" s="1"/>
      <c r="AE60" s="1"/>
      <c r="AF60" s="1"/>
    </row>
    <row r="61" spans="1:32" ht="16.5" thickBot="1" x14ac:dyDescent="0.3">
      <c r="A61" s="40">
        <v>61</v>
      </c>
      <c r="B61" s="39" t="s">
        <v>110</v>
      </c>
      <c r="C61" s="37"/>
      <c r="D61" s="37"/>
      <c r="U61" s="1"/>
      <c r="V61" s="1"/>
      <c r="W61" s="1"/>
      <c r="X61" s="18" t="s">
        <v>1</v>
      </c>
      <c r="Y61" s="1"/>
      <c r="Z61" s="1"/>
      <c r="AA61" s="1"/>
      <c r="AB61" s="1"/>
      <c r="AC61" s="1"/>
      <c r="AD61" s="1"/>
      <c r="AE61" s="24" t="s">
        <v>1</v>
      </c>
      <c r="AF61" s="1"/>
    </row>
    <row r="62" spans="1:32" ht="16.5" thickBot="1" x14ac:dyDescent="0.3">
      <c r="A62" s="40">
        <v>62</v>
      </c>
      <c r="B62" s="39" t="s">
        <v>111</v>
      </c>
      <c r="C62" s="37"/>
      <c r="D62" s="37"/>
      <c r="U62" s="1"/>
      <c r="V62" s="1"/>
      <c r="W62" s="1"/>
      <c r="X62" s="1"/>
      <c r="Y62" s="7" t="s">
        <v>0</v>
      </c>
      <c r="Z62" s="1"/>
      <c r="AA62" s="1"/>
      <c r="AB62" s="1"/>
      <c r="AC62" s="1"/>
      <c r="AD62" s="10" t="s">
        <v>0</v>
      </c>
      <c r="AE62" s="1"/>
      <c r="AF62" s="1"/>
    </row>
    <row r="63" spans="1:32" ht="16.5" thickBot="1" x14ac:dyDescent="0.3">
      <c r="A63" s="40">
        <v>63</v>
      </c>
      <c r="B63" s="39" t="s">
        <v>37</v>
      </c>
      <c r="C63" s="37"/>
      <c r="D63" s="37"/>
      <c r="U63" s="2" t="s">
        <v>0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</row>
    <row r="64" spans="1:32" ht="16.5" thickBot="1" x14ac:dyDescent="0.3">
      <c r="A64" s="40">
        <v>64</v>
      </c>
      <c r="B64" s="39" t="s">
        <v>174</v>
      </c>
      <c r="C64" s="37"/>
      <c r="D64" s="37"/>
      <c r="U64" s="1"/>
      <c r="V64" s="4" t="s">
        <v>0</v>
      </c>
      <c r="W64" s="1"/>
      <c r="X64" s="1"/>
      <c r="Y64" s="1"/>
      <c r="Z64" s="1"/>
      <c r="AA64" s="1"/>
      <c r="AB64" s="1"/>
      <c r="AC64" s="1"/>
      <c r="AD64" s="1"/>
      <c r="AE64" s="1"/>
      <c r="AF64" s="12" t="s">
        <v>0</v>
      </c>
    </row>
    <row r="65" spans="1:32" ht="16.5" thickBot="1" x14ac:dyDescent="0.3">
      <c r="A65" s="40">
        <v>65</v>
      </c>
      <c r="B65" s="39" t="s">
        <v>112</v>
      </c>
      <c r="C65" s="37"/>
      <c r="D65" s="37"/>
      <c r="U65" s="1"/>
      <c r="V65" s="1"/>
      <c r="W65" s="1"/>
      <c r="X65" s="1"/>
      <c r="Y65" s="1"/>
      <c r="Z65" s="1"/>
      <c r="AA65" s="1"/>
      <c r="AB65" s="22" t="s">
        <v>1</v>
      </c>
      <c r="AC65" s="1"/>
      <c r="AD65" s="1"/>
      <c r="AE65" s="1"/>
      <c r="AF65" s="1"/>
    </row>
    <row r="66" spans="1:32" ht="16.5" thickBot="1" x14ac:dyDescent="0.3">
      <c r="A66" s="40">
        <v>66</v>
      </c>
      <c r="B66" s="39" t="s">
        <v>38</v>
      </c>
      <c r="C66" s="37"/>
      <c r="D66" s="37"/>
      <c r="U66" s="1"/>
      <c r="V66" s="1"/>
      <c r="W66" s="1"/>
      <c r="X66" s="1"/>
      <c r="Y66" s="1"/>
      <c r="Z66" s="1"/>
      <c r="AA66" s="1"/>
      <c r="AB66" s="1"/>
      <c r="AC66" s="9" t="s">
        <v>0</v>
      </c>
      <c r="AD66" s="1"/>
      <c r="AE66" s="1"/>
      <c r="AF66" s="1"/>
    </row>
    <row r="67" spans="1:32" ht="16.5" thickBot="1" x14ac:dyDescent="0.3">
      <c r="A67" s="40">
        <v>67</v>
      </c>
      <c r="B67" s="39" t="s">
        <v>175</v>
      </c>
      <c r="C67" s="37"/>
      <c r="D67" s="37"/>
      <c r="U67" s="2" t="s">
        <v>0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</row>
    <row r="68" spans="1:32" ht="16.5" thickBot="1" x14ac:dyDescent="0.3">
      <c r="A68" s="40">
        <v>68</v>
      </c>
      <c r="B68" s="39" t="s">
        <v>39</v>
      </c>
      <c r="C68" s="37"/>
      <c r="D68" s="37"/>
      <c r="U68" s="1"/>
      <c r="V68" s="4" t="s">
        <v>0</v>
      </c>
      <c r="W68" s="1"/>
      <c r="X68" s="1"/>
      <c r="Y68" s="1"/>
      <c r="Z68" s="1"/>
      <c r="AA68" s="1"/>
      <c r="AB68" s="1"/>
      <c r="AC68" s="1"/>
      <c r="AD68" s="1"/>
      <c r="AE68" s="1"/>
      <c r="AF68" s="1"/>
    </row>
    <row r="69" spans="1:32" ht="16.5" thickBot="1" x14ac:dyDescent="0.3">
      <c r="A69" s="40">
        <v>69</v>
      </c>
      <c r="B69" s="39" t="s">
        <v>40</v>
      </c>
      <c r="C69" s="37"/>
      <c r="D69" s="37"/>
      <c r="U69" s="1"/>
      <c r="V69" s="1"/>
      <c r="W69" s="1"/>
      <c r="X69" s="1"/>
      <c r="Y69" s="1"/>
      <c r="Z69" s="1"/>
      <c r="AA69" s="20" t="s">
        <v>0</v>
      </c>
      <c r="AB69" s="1"/>
      <c r="AC69" s="1"/>
      <c r="AD69" s="1"/>
      <c r="AE69" s="1"/>
      <c r="AF69" s="1"/>
    </row>
    <row r="70" spans="1:32" ht="16.5" thickBot="1" x14ac:dyDescent="0.3">
      <c r="A70" s="40">
        <v>70</v>
      </c>
      <c r="B70" s="39" t="s">
        <v>41</v>
      </c>
      <c r="C70" s="37"/>
      <c r="D70" s="37"/>
      <c r="U70" s="1"/>
      <c r="V70" s="1"/>
      <c r="W70" s="1"/>
      <c r="X70" s="1"/>
      <c r="Y70" s="1"/>
      <c r="Z70" s="1"/>
      <c r="AA70" s="20" t="s">
        <v>0</v>
      </c>
      <c r="AB70" s="1"/>
      <c r="AC70" s="1"/>
      <c r="AD70" s="1"/>
      <c r="AE70" s="1"/>
      <c r="AF70" s="1"/>
    </row>
    <row r="71" spans="1:32" ht="16.5" thickBot="1" x14ac:dyDescent="0.3">
      <c r="A71" s="40">
        <v>71</v>
      </c>
      <c r="B71" s="39" t="s">
        <v>42</v>
      </c>
      <c r="C71" s="37"/>
      <c r="D71" s="37"/>
      <c r="U71" s="1"/>
      <c r="V71" s="1"/>
      <c r="W71" s="1"/>
      <c r="X71" s="1"/>
      <c r="Y71" s="1"/>
      <c r="Z71" s="13" t="s">
        <v>0</v>
      </c>
      <c r="AA71" s="1"/>
      <c r="AB71" s="1"/>
      <c r="AC71" s="1"/>
      <c r="AD71" s="1"/>
      <c r="AE71" s="1"/>
      <c r="AF71" s="1"/>
    </row>
    <row r="72" spans="1:32" ht="16.5" thickBot="1" x14ac:dyDescent="0.3">
      <c r="A72" s="40">
        <v>72</v>
      </c>
      <c r="B72" s="39" t="s">
        <v>43</v>
      </c>
      <c r="C72" s="37"/>
      <c r="D72" s="37"/>
      <c r="U72" s="1"/>
      <c r="V72" s="1"/>
      <c r="W72" s="1"/>
      <c r="X72" s="1"/>
      <c r="Y72" s="1"/>
      <c r="Z72" s="1"/>
      <c r="AA72" s="1"/>
      <c r="AB72" s="8" t="s">
        <v>0</v>
      </c>
      <c r="AC72" s="1"/>
      <c r="AD72" s="1"/>
      <c r="AE72" s="1"/>
      <c r="AF72" s="1"/>
    </row>
    <row r="73" spans="1:32" ht="16.5" thickBot="1" x14ac:dyDescent="0.3">
      <c r="A73" s="40">
        <v>73</v>
      </c>
      <c r="B73" s="39" t="s">
        <v>113</v>
      </c>
      <c r="C73" s="37"/>
      <c r="D73" s="37"/>
      <c r="U73" s="1"/>
      <c r="V73" s="1"/>
      <c r="W73" s="1"/>
      <c r="X73" s="1"/>
      <c r="Y73" s="19" t="s">
        <v>1</v>
      </c>
      <c r="Z73" s="1"/>
      <c r="AA73" s="1"/>
      <c r="AB73" s="1"/>
      <c r="AC73" s="1"/>
      <c r="AD73" s="1"/>
      <c r="AE73" s="1"/>
      <c r="AF73" s="1"/>
    </row>
    <row r="74" spans="1:32" ht="16.5" thickBot="1" x14ac:dyDescent="0.3">
      <c r="A74" s="40">
        <v>74</v>
      </c>
      <c r="B74" s="39" t="s">
        <v>114</v>
      </c>
      <c r="C74" s="37"/>
      <c r="D74" s="37"/>
      <c r="U74" s="1"/>
      <c r="V74" s="1"/>
      <c r="W74" s="1"/>
      <c r="X74" s="1"/>
      <c r="Y74" s="1"/>
      <c r="Z74" s="13" t="s">
        <v>0</v>
      </c>
      <c r="AA74" s="1"/>
      <c r="AB74" s="1"/>
      <c r="AC74" s="1"/>
      <c r="AD74" s="1"/>
      <c r="AE74" s="1"/>
      <c r="AF74" s="1"/>
    </row>
    <row r="75" spans="1:32" ht="16.5" thickBot="1" x14ac:dyDescent="0.3">
      <c r="A75" s="40">
        <v>75</v>
      </c>
      <c r="B75" s="39" t="s">
        <v>115</v>
      </c>
      <c r="C75" s="37"/>
      <c r="D75" s="37"/>
      <c r="U75" s="1"/>
      <c r="V75" s="1"/>
      <c r="W75" s="1"/>
      <c r="X75" s="1"/>
      <c r="Y75" s="1"/>
      <c r="Z75" s="13" t="s">
        <v>0</v>
      </c>
      <c r="AA75" s="1"/>
      <c r="AB75" s="1"/>
      <c r="AC75" s="1"/>
      <c r="AD75" s="1"/>
      <c r="AE75" s="1"/>
      <c r="AF75" s="1"/>
    </row>
    <row r="76" spans="1:32" ht="16.5" thickBot="1" x14ac:dyDescent="0.3">
      <c r="A76" s="40">
        <v>76</v>
      </c>
      <c r="B76" s="39" t="s">
        <v>44</v>
      </c>
      <c r="C76" s="37"/>
      <c r="D76" s="37"/>
      <c r="U76" s="1"/>
      <c r="V76" s="1"/>
      <c r="W76" s="1"/>
      <c r="X76" s="1"/>
      <c r="Y76" s="1"/>
      <c r="Z76" s="1"/>
      <c r="AA76" s="20" t="s">
        <v>0</v>
      </c>
      <c r="AB76" s="1"/>
      <c r="AC76" s="1"/>
      <c r="AD76" s="1"/>
      <c r="AE76" s="1"/>
      <c r="AF76" s="1"/>
    </row>
    <row r="77" spans="1:32" ht="16.5" thickBot="1" x14ac:dyDescent="0.3">
      <c r="A77" s="40">
        <v>77</v>
      </c>
      <c r="B77" s="39" t="s">
        <v>45</v>
      </c>
      <c r="C77" s="37"/>
      <c r="D77" s="37"/>
      <c r="U77" s="1"/>
      <c r="V77" s="1"/>
      <c r="W77" s="5" t="s">
        <v>0</v>
      </c>
      <c r="X77" s="1"/>
      <c r="Y77" s="1"/>
      <c r="Z77" s="1"/>
      <c r="AA77" s="1"/>
      <c r="AB77" s="1"/>
      <c r="AC77" s="1"/>
      <c r="AD77" s="1"/>
      <c r="AE77" s="1"/>
      <c r="AF77" s="1"/>
    </row>
    <row r="78" spans="1:32" ht="16.5" thickBot="1" x14ac:dyDescent="0.3">
      <c r="A78" s="40">
        <v>78</v>
      </c>
      <c r="B78" s="39" t="s">
        <v>46</v>
      </c>
      <c r="C78" s="37"/>
      <c r="D78" s="37"/>
      <c r="U78" s="1"/>
      <c r="V78" s="1"/>
      <c r="W78" s="1"/>
      <c r="X78" s="1"/>
      <c r="Y78" s="1"/>
      <c r="Z78" s="1"/>
      <c r="AA78" s="20" t="s">
        <v>0</v>
      </c>
      <c r="AB78" s="1"/>
      <c r="AC78" s="1"/>
      <c r="AD78" s="1"/>
      <c r="AE78" s="1"/>
      <c r="AF78" s="1"/>
    </row>
    <row r="79" spans="1:32" ht="16.5" thickBot="1" x14ac:dyDescent="0.3">
      <c r="A79" s="40">
        <v>79</v>
      </c>
      <c r="B79" s="39" t="s">
        <v>176</v>
      </c>
      <c r="C79" s="37"/>
      <c r="D79" s="37"/>
      <c r="U79" s="2" t="s">
        <v>0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</row>
    <row r="80" spans="1:32" ht="16.5" thickBot="1" x14ac:dyDescent="0.3">
      <c r="A80" s="40">
        <v>80</v>
      </c>
      <c r="B80" s="39" t="s">
        <v>47</v>
      </c>
      <c r="C80" s="37"/>
      <c r="D80" s="37"/>
      <c r="U80" s="2" t="s">
        <v>0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</row>
    <row r="81" spans="1:32" ht="16.5" thickBot="1" x14ac:dyDescent="0.3">
      <c r="A81" s="40">
        <v>81</v>
      </c>
      <c r="B81" s="39" t="s">
        <v>177</v>
      </c>
      <c r="C81" s="37"/>
      <c r="D81" s="37"/>
      <c r="U81" s="2" t="s">
        <v>0</v>
      </c>
      <c r="V81" s="1"/>
      <c r="W81" s="1"/>
      <c r="X81" s="1"/>
      <c r="Y81" s="1"/>
      <c r="Z81" s="1"/>
      <c r="AA81" s="1"/>
      <c r="AB81" s="1"/>
      <c r="AC81" s="1"/>
      <c r="AD81" s="1"/>
      <c r="AE81" s="1"/>
      <c r="AF81" s="25" t="s">
        <v>1</v>
      </c>
    </row>
    <row r="82" spans="1:32" ht="16.5" thickBot="1" x14ac:dyDescent="0.3">
      <c r="A82" s="40">
        <v>82</v>
      </c>
      <c r="B82" s="39" t="s">
        <v>48</v>
      </c>
      <c r="C82" s="37"/>
      <c r="D82" s="37"/>
      <c r="U82" s="1"/>
      <c r="V82" s="1"/>
      <c r="W82" s="1"/>
      <c r="X82" s="1"/>
      <c r="Y82" s="1"/>
      <c r="Z82" s="1"/>
      <c r="AA82" s="20" t="s">
        <v>0</v>
      </c>
      <c r="AB82" s="1"/>
      <c r="AC82" s="1"/>
      <c r="AD82" s="1"/>
      <c r="AE82" s="1"/>
      <c r="AF82" s="1"/>
    </row>
    <row r="83" spans="1:32" ht="16.5" thickBot="1" x14ac:dyDescent="0.3">
      <c r="A83" s="40">
        <v>83</v>
      </c>
      <c r="B83" s="39" t="s">
        <v>116</v>
      </c>
      <c r="C83" s="37"/>
      <c r="D83" s="37"/>
      <c r="U83" s="1"/>
      <c r="V83" s="1"/>
      <c r="W83" s="1"/>
      <c r="X83" s="1"/>
      <c r="Y83" s="1"/>
      <c r="Z83" s="1"/>
      <c r="AA83" s="1"/>
      <c r="AB83" s="1"/>
      <c r="AC83" s="9" t="s">
        <v>0</v>
      </c>
      <c r="AD83" s="1"/>
      <c r="AE83" s="1"/>
      <c r="AF83" s="1"/>
    </row>
    <row r="84" spans="1:32" ht="16.5" thickBot="1" x14ac:dyDescent="0.3">
      <c r="A84" s="40">
        <v>84</v>
      </c>
      <c r="B84" s="39" t="s">
        <v>49</v>
      </c>
      <c r="C84" s="37"/>
      <c r="D84" s="37"/>
      <c r="U84" s="1"/>
      <c r="V84" s="4" t="s">
        <v>0</v>
      </c>
      <c r="W84" s="1"/>
      <c r="X84" s="1"/>
      <c r="Y84" s="1"/>
      <c r="Z84" s="1"/>
      <c r="AA84" s="1"/>
      <c r="AB84" s="1"/>
      <c r="AC84" s="1"/>
      <c r="AD84" s="1"/>
      <c r="AE84" s="1"/>
      <c r="AF84" s="1"/>
    </row>
    <row r="85" spans="1:32" ht="16.5" thickBot="1" x14ac:dyDescent="0.3">
      <c r="A85" s="40">
        <v>85</v>
      </c>
      <c r="B85" s="39" t="s">
        <v>117</v>
      </c>
      <c r="C85" s="37"/>
      <c r="D85" s="37"/>
      <c r="U85" s="1"/>
      <c r="V85" s="1"/>
      <c r="W85" s="1"/>
      <c r="X85" s="1"/>
      <c r="Y85" s="7" t="s">
        <v>0</v>
      </c>
      <c r="Z85" s="1"/>
      <c r="AA85" s="1"/>
      <c r="AB85" s="1"/>
      <c r="AC85" s="1"/>
      <c r="AD85" s="10" t="s">
        <v>0</v>
      </c>
      <c r="AE85" s="1"/>
      <c r="AF85" s="1"/>
    </row>
    <row r="86" spans="1:32" ht="16.5" thickBot="1" x14ac:dyDescent="0.3">
      <c r="A86" s="40">
        <v>86</v>
      </c>
      <c r="B86" s="39" t="s">
        <v>178</v>
      </c>
      <c r="C86" s="37"/>
      <c r="D86" s="37"/>
      <c r="U86" s="1"/>
      <c r="V86" s="1"/>
      <c r="W86" s="1"/>
      <c r="X86" s="1"/>
      <c r="Y86" s="1"/>
      <c r="Z86" s="1"/>
      <c r="AA86" s="1"/>
      <c r="AB86" s="22" t="s">
        <v>1</v>
      </c>
      <c r="AC86" s="1"/>
      <c r="AD86" s="10" t="s">
        <v>0</v>
      </c>
      <c r="AE86" s="1"/>
      <c r="AF86" s="1"/>
    </row>
    <row r="87" spans="1:32" ht="16.5" thickBot="1" x14ac:dyDescent="0.3">
      <c r="A87" s="40">
        <v>87</v>
      </c>
      <c r="B87" s="39" t="s">
        <v>179</v>
      </c>
      <c r="C87" s="37"/>
      <c r="D87" s="37"/>
      <c r="U87" s="1"/>
      <c r="V87" s="1"/>
      <c r="W87" s="1"/>
      <c r="X87" s="1"/>
      <c r="Y87" s="1"/>
      <c r="Z87" s="1"/>
      <c r="AA87" s="1"/>
      <c r="AB87" s="8" t="s">
        <v>0</v>
      </c>
      <c r="AC87" s="1"/>
      <c r="AD87" s="1"/>
      <c r="AE87" s="1"/>
      <c r="AF87" s="25" t="s">
        <v>1</v>
      </c>
    </row>
    <row r="88" spans="1:32" ht="16.5" thickBot="1" x14ac:dyDescent="0.3">
      <c r="A88" s="40">
        <v>88</v>
      </c>
      <c r="B88" s="39" t="s">
        <v>118</v>
      </c>
      <c r="C88" s="37"/>
      <c r="D88" s="37"/>
      <c r="U88" s="1"/>
      <c r="V88" s="1"/>
      <c r="W88" s="5" t="s">
        <v>0</v>
      </c>
      <c r="X88" s="1"/>
      <c r="Y88" s="1"/>
      <c r="Z88" s="1"/>
      <c r="AA88" s="1"/>
      <c r="AB88" s="1"/>
      <c r="AC88" s="1"/>
      <c r="AD88" s="1"/>
      <c r="AE88" s="1"/>
      <c r="AF88" s="1"/>
    </row>
    <row r="89" spans="1:32" ht="16.5" thickBot="1" x14ac:dyDescent="0.3">
      <c r="A89" s="40">
        <v>89</v>
      </c>
      <c r="B89" s="39" t="s">
        <v>50</v>
      </c>
      <c r="C89" s="37"/>
      <c r="D89" s="37"/>
      <c r="U89" s="1"/>
      <c r="V89" s="1"/>
      <c r="W89" s="5" t="s">
        <v>0</v>
      </c>
      <c r="X89" s="1"/>
      <c r="Y89" s="1"/>
      <c r="Z89" s="1"/>
      <c r="AA89" s="1"/>
      <c r="AB89" s="1"/>
      <c r="AC89" s="1"/>
      <c r="AD89" s="1"/>
      <c r="AE89" s="11" t="s">
        <v>0</v>
      </c>
      <c r="AF89" s="1"/>
    </row>
    <row r="90" spans="1:32" ht="16.5" thickBot="1" x14ac:dyDescent="0.3">
      <c r="A90" s="40">
        <v>90</v>
      </c>
      <c r="B90" s="39" t="s">
        <v>180</v>
      </c>
      <c r="C90" s="37"/>
      <c r="D90" s="37"/>
      <c r="U90" s="1"/>
      <c r="V90" s="1"/>
      <c r="W90" s="1"/>
      <c r="X90" s="1"/>
      <c r="Y90" s="1"/>
      <c r="Z90" s="1"/>
      <c r="AA90" s="1"/>
      <c r="AB90" s="22" t="s">
        <v>1</v>
      </c>
      <c r="AC90" s="1"/>
      <c r="AD90" s="1"/>
      <c r="AE90" s="1"/>
      <c r="AF90" s="1"/>
    </row>
    <row r="91" spans="1:32" ht="16.5" thickBot="1" x14ac:dyDescent="0.3">
      <c r="A91" s="40">
        <v>91</v>
      </c>
      <c r="B91" s="39" t="s">
        <v>51</v>
      </c>
      <c r="C91" s="37"/>
      <c r="D91" s="37"/>
      <c r="U91" s="15" t="s">
        <v>1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</row>
    <row r="92" spans="1:32" ht="16.5" thickBot="1" x14ac:dyDescent="0.3">
      <c r="A92" s="40">
        <v>92</v>
      </c>
      <c r="B92" s="39" t="s">
        <v>181</v>
      </c>
      <c r="C92" s="37"/>
      <c r="D92" s="37"/>
      <c r="U92" s="1"/>
      <c r="V92" s="1"/>
      <c r="W92" s="1"/>
      <c r="X92" s="1"/>
      <c r="Y92" s="1"/>
      <c r="Z92" s="1"/>
      <c r="AA92" s="20" t="s">
        <v>0</v>
      </c>
      <c r="AB92" s="1"/>
      <c r="AC92" s="1"/>
      <c r="AD92" s="1"/>
      <c r="AE92" s="1"/>
      <c r="AF92" s="1"/>
    </row>
    <row r="93" spans="1:32" ht="16.5" thickBot="1" x14ac:dyDescent="0.3">
      <c r="A93" s="40">
        <v>93</v>
      </c>
      <c r="B93" s="39" t="s">
        <v>119</v>
      </c>
      <c r="C93" s="37"/>
      <c r="D93" s="37"/>
      <c r="U93" s="1"/>
      <c r="V93" s="4" t="s">
        <v>0</v>
      </c>
      <c r="W93" s="1"/>
      <c r="X93" s="1"/>
      <c r="Y93" s="1"/>
      <c r="Z93" s="1"/>
      <c r="AA93" s="1"/>
      <c r="AB93" s="1"/>
      <c r="AC93" s="1"/>
      <c r="AD93" s="1"/>
      <c r="AE93" s="1"/>
      <c r="AF93" s="1"/>
    </row>
    <row r="94" spans="1:32" ht="16.5" thickBot="1" x14ac:dyDescent="0.3">
      <c r="A94" s="40">
        <v>94</v>
      </c>
      <c r="B94" s="39" t="s">
        <v>182</v>
      </c>
      <c r="C94" s="37"/>
      <c r="D94" s="37"/>
      <c r="U94" s="1"/>
      <c r="V94" s="4" t="s">
        <v>0</v>
      </c>
      <c r="W94" s="1"/>
      <c r="X94" s="1"/>
      <c r="Y94" s="1"/>
      <c r="Z94" s="1"/>
      <c r="AA94" s="1"/>
      <c r="AB94" s="1"/>
      <c r="AC94" s="1"/>
      <c r="AD94" s="1"/>
      <c r="AE94" s="1"/>
      <c r="AF94" s="1"/>
    </row>
    <row r="95" spans="1:32" ht="16.5" thickBot="1" x14ac:dyDescent="0.3">
      <c r="A95" s="40">
        <v>95</v>
      </c>
      <c r="B95" s="39" t="s">
        <v>52</v>
      </c>
      <c r="C95" s="37"/>
      <c r="D95" s="37"/>
      <c r="U95" s="1"/>
      <c r="V95" s="4" t="s">
        <v>0</v>
      </c>
      <c r="W95" s="1"/>
      <c r="X95" s="1"/>
      <c r="Y95" s="1"/>
      <c r="Z95" s="1"/>
      <c r="AA95" s="1"/>
      <c r="AB95" s="1"/>
      <c r="AC95" s="1"/>
      <c r="AD95" s="1"/>
      <c r="AE95" s="1"/>
      <c r="AF95" s="1"/>
    </row>
    <row r="96" spans="1:32" ht="16.5" thickBot="1" x14ac:dyDescent="0.3">
      <c r="A96" s="40">
        <v>96</v>
      </c>
      <c r="B96" s="39" t="s">
        <v>183</v>
      </c>
      <c r="C96" s="37"/>
      <c r="D96" s="37"/>
      <c r="U96" s="1"/>
      <c r="V96" s="4" t="s">
        <v>0</v>
      </c>
      <c r="W96" s="1"/>
      <c r="X96" s="1"/>
      <c r="Y96" s="1"/>
      <c r="Z96" s="1"/>
      <c r="AA96" s="1"/>
      <c r="AB96" s="1"/>
      <c r="AC96" s="1"/>
      <c r="AD96" s="1"/>
      <c r="AE96" s="1"/>
      <c r="AF96" s="1"/>
    </row>
    <row r="97" spans="1:32" ht="16.5" thickBot="1" x14ac:dyDescent="0.3">
      <c r="A97" s="40">
        <v>97</v>
      </c>
      <c r="B97" s="39" t="s">
        <v>120</v>
      </c>
      <c r="C97" s="37"/>
      <c r="D97" s="37"/>
      <c r="U97" s="1"/>
      <c r="V97" s="1"/>
      <c r="W97" s="1"/>
      <c r="X97" s="1"/>
      <c r="Y97" s="1"/>
      <c r="Z97" s="1"/>
      <c r="AA97" s="1"/>
      <c r="AB97" s="1"/>
      <c r="AC97" s="9" t="s">
        <v>0</v>
      </c>
      <c r="AD97" s="1"/>
      <c r="AE97" s="1"/>
      <c r="AF97" s="1"/>
    </row>
    <row r="98" spans="1:32" ht="16.5" thickBot="1" x14ac:dyDescent="0.3">
      <c r="A98" s="40">
        <v>98</v>
      </c>
      <c r="B98" s="39" t="s">
        <v>53</v>
      </c>
      <c r="C98" s="37"/>
      <c r="D98" s="37"/>
      <c r="U98" s="1"/>
      <c r="V98" s="1"/>
      <c r="W98" s="1"/>
      <c r="X98" s="1"/>
      <c r="Y98" s="7" t="s">
        <v>0</v>
      </c>
      <c r="Z98" s="1"/>
      <c r="AA98" s="1"/>
      <c r="AB98" s="1"/>
      <c r="AC98" s="1"/>
      <c r="AD98" s="10" t="s">
        <v>0</v>
      </c>
      <c r="AE98" s="1"/>
      <c r="AF98" s="12" t="s">
        <v>0</v>
      </c>
    </row>
    <row r="99" spans="1:32" ht="16.5" thickBot="1" x14ac:dyDescent="0.3">
      <c r="A99" s="40">
        <v>99</v>
      </c>
      <c r="B99" s="39" t="s">
        <v>184</v>
      </c>
      <c r="C99" s="37"/>
      <c r="D99" s="37"/>
      <c r="U99" s="1"/>
      <c r="V99" s="1"/>
      <c r="W99" s="1"/>
      <c r="X99" s="1"/>
      <c r="Y99" s="1"/>
      <c r="Z99" s="13" t="s">
        <v>0</v>
      </c>
      <c r="AA99" s="1"/>
      <c r="AB99" s="1"/>
      <c r="AC99" s="1"/>
      <c r="AD99" s="1"/>
      <c r="AE99" s="24" t="s">
        <v>1</v>
      </c>
      <c r="AF99" s="1"/>
    </row>
    <row r="100" spans="1:32" ht="16.5" thickBot="1" x14ac:dyDescent="0.3">
      <c r="A100" s="40">
        <v>100</v>
      </c>
      <c r="B100" s="39" t="s">
        <v>54</v>
      </c>
      <c r="C100" s="37"/>
      <c r="D100" s="37"/>
      <c r="U100" s="1"/>
      <c r="V100" s="1"/>
      <c r="W100" s="1"/>
      <c r="X100" s="1"/>
      <c r="Y100" s="19" t="s">
        <v>1</v>
      </c>
      <c r="Z100" s="1"/>
      <c r="AA100" s="1"/>
      <c r="AB100" s="1"/>
      <c r="AC100" s="1"/>
      <c r="AD100" s="1"/>
      <c r="AE100" s="1"/>
      <c r="AF100" s="1"/>
    </row>
    <row r="101" spans="1:32" ht="16.5" thickBot="1" x14ac:dyDescent="0.3">
      <c r="A101" s="40">
        <v>101</v>
      </c>
      <c r="B101" s="39" t="s">
        <v>185</v>
      </c>
      <c r="C101" s="37"/>
      <c r="D101" s="37"/>
      <c r="U101" s="1"/>
      <c r="V101" s="1"/>
      <c r="W101" s="1"/>
      <c r="X101" s="1"/>
      <c r="Y101" s="1"/>
      <c r="Z101" s="1"/>
      <c r="AA101" s="1"/>
      <c r="AB101" s="1"/>
      <c r="AC101" s="9" t="s">
        <v>0</v>
      </c>
      <c r="AD101" s="1"/>
      <c r="AE101" s="1"/>
      <c r="AF101" s="1"/>
    </row>
    <row r="102" spans="1:32" ht="16.5" thickBot="1" x14ac:dyDescent="0.3">
      <c r="A102" s="40">
        <v>102</v>
      </c>
      <c r="B102" s="39" t="s">
        <v>55</v>
      </c>
      <c r="C102" s="37"/>
      <c r="D102" s="37"/>
      <c r="U102" s="1"/>
      <c r="V102" s="1"/>
      <c r="W102" s="1"/>
      <c r="X102" s="1"/>
      <c r="Y102" s="7" t="s">
        <v>0</v>
      </c>
      <c r="Z102" s="1"/>
      <c r="AA102" s="1"/>
      <c r="AB102" s="1"/>
      <c r="AC102" s="1"/>
      <c r="AD102" s="10" t="s">
        <v>0</v>
      </c>
      <c r="AE102" s="1"/>
      <c r="AF102" s="1"/>
    </row>
    <row r="103" spans="1:32" ht="16.5" thickBot="1" x14ac:dyDescent="0.3">
      <c r="A103" s="40">
        <v>103</v>
      </c>
      <c r="B103" s="39" t="s">
        <v>56</v>
      </c>
      <c r="C103" s="37"/>
      <c r="D103" s="37"/>
      <c r="U103" s="1"/>
      <c r="V103" s="1"/>
      <c r="W103" s="5" t="s">
        <v>0</v>
      </c>
      <c r="X103" s="1"/>
      <c r="Y103" s="1"/>
      <c r="Z103" s="1"/>
      <c r="AA103" s="1"/>
      <c r="AB103" s="1"/>
      <c r="AC103" s="1"/>
      <c r="AD103" s="1"/>
      <c r="AE103" s="11" t="s">
        <v>0</v>
      </c>
      <c r="AF103" s="1"/>
    </row>
    <row r="104" spans="1:32" ht="16.5" thickBot="1" x14ac:dyDescent="0.3">
      <c r="A104" s="40">
        <v>104</v>
      </c>
      <c r="B104" s="39" t="s">
        <v>186</v>
      </c>
      <c r="C104" s="37"/>
      <c r="D104" s="37"/>
      <c r="U104" s="2" t="s">
        <v>0</v>
      </c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</row>
    <row r="105" spans="1:32" ht="16.5" thickBot="1" x14ac:dyDescent="0.3">
      <c r="A105" s="40">
        <v>105</v>
      </c>
      <c r="B105" s="39" t="s">
        <v>121</v>
      </c>
      <c r="C105" s="37"/>
      <c r="D105" s="37"/>
      <c r="U105" s="1"/>
      <c r="V105" s="1"/>
      <c r="W105" s="1"/>
      <c r="X105" s="6" t="s">
        <v>0</v>
      </c>
      <c r="Y105" s="1"/>
      <c r="Z105" s="1"/>
      <c r="AA105" s="1"/>
      <c r="AB105" s="1"/>
      <c r="AC105" s="1"/>
      <c r="AD105" s="10" t="s">
        <v>0</v>
      </c>
      <c r="AE105" s="1"/>
      <c r="AF105" s="1"/>
    </row>
    <row r="106" spans="1:32" ht="16.5" thickBot="1" x14ac:dyDescent="0.3">
      <c r="A106" s="40">
        <v>106</v>
      </c>
      <c r="B106" s="39" t="s">
        <v>57</v>
      </c>
      <c r="C106" s="37"/>
      <c r="D106" s="37"/>
      <c r="U106" s="1"/>
      <c r="V106" s="1"/>
      <c r="W106" s="1"/>
      <c r="X106" s="1"/>
      <c r="Y106" s="1"/>
      <c r="Z106" s="13" t="s">
        <v>0</v>
      </c>
      <c r="AA106" s="1"/>
      <c r="AB106" s="1"/>
      <c r="AC106" s="1"/>
      <c r="AD106" s="1"/>
      <c r="AE106" s="24" t="s">
        <v>1</v>
      </c>
      <c r="AF106" s="1"/>
    </row>
    <row r="107" spans="1:32" ht="16.5" thickBot="1" x14ac:dyDescent="0.3">
      <c r="A107" s="40">
        <v>107</v>
      </c>
      <c r="B107" s="39" t="s">
        <v>187</v>
      </c>
      <c r="C107" s="37"/>
      <c r="D107" s="37"/>
      <c r="U107" s="1"/>
      <c r="V107" s="1"/>
      <c r="W107" s="1"/>
      <c r="X107" s="1"/>
      <c r="Y107" s="1"/>
      <c r="Z107" s="1"/>
      <c r="AA107" s="1"/>
      <c r="AB107" s="8" t="s">
        <v>0</v>
      </c>
      <c r="AC107" s="1"/>
      <c r="AD107" s="1"/>
      <c r="AE107" s="1"/>
      <c r="AF107" s="1"/>
    </row>
    <row r="108" spans="1:32" ht="16.5" thickBot="1" x14ac:dyDescent="0.3">
      <c r="A108" s="40">
        <v>108</v>
      </c>
      <c r="B108" s="39" t="s">
        <v>122</v>
      </c>
      <c r="C108" s="37"/>
      <c r="D108" s="37"/>
      <c r="U108" s="1"/>
      <c r="V108" s="1"/>
      <c r="W108" s="5" t="s">
        <v>0</v>
      </c>
      <c r="X108" s="1"/>
      <c r="Y108" s="1"/>
      <c r="Z108" s="1"/>
      <c r="AA108" s="1"/>
      <c r="AB108" s="1"/>
      <c r="AC108" s="1"/>
      <c r="AD108" s="1"/>
      <c r="AE108" s="1"/>
      <c r="AF108" s="1"/>
    </row>
    <row r="109" spans="1:32" ht="16.5" thickBot="1" x14ac:dyDescent="0.3">
      <c r="A109" s="40">
        <v>109</v>
      </c>
      <c r="B109" s="39" t="s">
        <v>188</v>
      </c>
      <c r="C109" s="37"/>
      <c r="D109" s="37"/>
      <c r="U109" s="1"/>
      <c r="V109" s="1"/>
      <c r="W109" s="1"/>
      <c r="X109" s="1"/>
      <c r="Y109" s="1"/>
      <c r="Z109" s="1"/>
      <c r="AA109" s="1"/>
      <c r="AB109" s="1"/>
      <c r="AC109" s="9" t="s">
        <v>0</v>
      </c>
      <c r="AD109" s="1"/>
      <c r="AE109" s="1"/>
      <c r="AF109" s="1"/>
    </row>
    <row r="110" spans="1:32" ht="16.5" thickBot="1" x14ac:dyDescent="0.3">
      <c r="A110" s="40">
        <v>110</v>
      </c>
      <c r="B110" s="39" t="s">
        <v>58</v>
      </c>
      <c r="C110" s="37"/>
      <c r="D110" s="37"/>
      <c r="U110" s="2" t="s">
        <v>0</v>
      </c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</row>
    <row r="111" spans="1:32" ht="16.5" thickBot="1" x14ac:dyDescent="0.3">
      <c r="A111" s="40">
        <v>111</v>
      </c>
      <c r="B111" s="39" t="s">
        <v>189</v>
      </c>
      <c r="C111" s="37"/>
      <c r="D111" s="37"/>
      <c r="U111" s="1"/>
      <c r="V111" s="1"/>
      <c r="W111" s="1"/>
      <c r="X111" s="1"/>
      <c r="Y111" s="1"/>
      <c r="Z111" s="1"/>
      <c r="AA111" s="1"/>
      <c r="AB111" s="8" t="s">
        <v>0</v>
      </c>
      <c r="AC111" s="1"/>
      <c r="AD111" s="1"/>
      <c r="AE111" s="1"/>
      <c r="AF111" s="1"/>
    </row>
    <row r="112" spans="1:32" ht="16.5" thickBot="1" x14ac:dyDescent="0.3">
      <c r="A112" s="40">
        <v>112</v>
      </c>
      <c r="B112" s="39" t="s">
        <v>190</v>
      </c>
      <c r="C112" s="37"/>
      <c r="D112" s="37"/>
      <c r="U112" s="2" t="s">
        <v>0</v>
      </c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</row>
    <row r="113" spans="1:32" ht="16.5" thickBot="1" x14ac:dyDescent="0.3">
      <c r="A113" s="40">
        <v>113</v>
      </c>
      <c r="B113" s="39" t="s">
        <v>123</v>
      </c>
      <c r="C113" s="37"/>
      <c r="D113" s="37"/>
      <c r="U113" s="1"/>
      <c r="V113" s="1"/>
      <c r="W113" s="1"/>
      <c r="X113" s="1"/>
      <c r="Y113" s="1"/>
      <c r="Z113" s="1"/>
      <c r="AA113" s="1"/>
      <c r="AB113" s="1"/>
      <c r="AC113" s="9" t="s">
        <v>0</v>
      </c>
      <c r="AD113" s="1"/>
      <c r="AE113" s="11" t="s">
        <v>0</v>
      </c>
      <c r="AF113" s="1"/>
    </row>
    <row r="114" spans="1:32" ht="16.5" thickBot="1" x14ac:dyDescent="0.3">
      <c r="A114" s="40">
        <v>114</v>
      </c>
      <c r="B114" s="39" t="s">
        <v>191</v>
      </c>
      <c r="C114" s="37"/>
      <c r="D114" s="37"/>
      <c r="U114" s="1"/>
      <c r="V114" s="4" t="s">
        <v>0</v>
      </c>
      <c r="W114" s="1"/>
      <c r="X114" s="1"/>
      <c r="Y114" s="1"/>
      <c r="Z114" s="1"/>
      <c r="AA114" s="1"/>
      <c r="AB114" s="1"/>
      <c r="AC114" s="1"/>
      <c r="AD114" s="1"/>
      <c r="AE114" s="1"/>
      <c r="AF114" s="1"/>
    </row>
    <row r="115" spans="1:32" ht="16.5" thickBot="1" x14ac:dyDescent="0.3">
      <c r="A115" s="40">
        <v>115</v>
      </c>
      <c r="B115" s="39" t="s">
        <v>192</v>
      </c>
      <c r="C115" s="37"/>
      <c r="D115" s="37"/>
      <c r="U115" s="1"/>
      <c r="V115" s="1"/>
      <c r="W115" s="1"/>
      <c r="X115" s="1"/>
      <c r="Y115" s="1"/>
      <c r="Z115" s="1"/>
      <c r="AA115" s="20" t="s">
        <v>0</v>
      </c>
      <c r="AB115" s="1"/>
      <c r="AC115" s="1"/>
      <c r="AD115" s="1"/>
      <c r="AE115" s="1"/>
      <c r="AF115" s="1"/>
    </row>
    <row r="116" spans="1:32" ht="16.5" thickBot="1" x14ac:dyDescent="0.3">
      <c r="A116" s="40">
        <v>116</v>
      </c>
      <c r="B116" s="39" t="s">
        <v>124</v>
      </c>
      <c r="C116" s="37"/>
      <c r="D116" s="37"/>
      <c r="U116" s="2" t="s">
        <v>0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</row>
    <row r="117" spans="1:32" ht="16.5" thickBot="1" x14ac:dyDescent="0.3">
      <c r="A117" s="40">
        <v>117</v>
      </c>
      <c r="B117" s="39" t="s">
        <v>59</v>
      </c>
      <c r="C117" s="37"/>
      <c r="D117" s="37"/>
      <c r="U117" s="1"/>
      <c r="V117" s="1"/>
      <c r="W117" s="1"/>
      <c r="X117" s="1"/>
      <c r="Y117" s="19" t="s">
        <v>1</v>
      </c>
      <c r="Z117" s="1"/>
      <c r="AA117" s="1"/>
      <c r="AB117" s="1"/>
      <c r="AC117" s="1"/>
      <c r="AD117" s="23" t="s">
        <v>1</v>
      </c>
      <c r="AE117" s="1"/>
      <c r="AF117" s="1"/>
    </row>
    <row r="118" spans="1:32" ht="16.5" thickBot="1" x14ac:dyDescent="0.3">
      <c r="A118" s="40">
        <v>118</v>
      </c>
      <c r="B118" s="39" t="s">
        <v>125</v>
      </c>
      <c r="C118" s="37"/>
      <c r="D118" s="37"/>
      <c r="U118" s="1"/>
      <c r="V118" s="1"/>
      <c r="W118" s="1"/>
      <c r="X118" s="1"/>
      <c r="Y118" s="1"/>
      <c r="Z118" s="13" t="s">
        <v>0</v>
      </c>
      <c r="AA118" s="1"/>
      <c r="AB118" s="1"/>
      <c r="AC118" s="1"/>
      <c r="AD118" s="1"/>
      <c r="AE118" s="1"/>
      <c r="AF118" s="1"/>
    </row>
    <row r="119" spans="1:32" ht="16.5" thickBot="1" x14ac:dyDescent="0.3">
      <c r="A119" s="40">
        <v>119</v>
      </c>
      <c r="B119" s="39" t="s">
        <v>126</v>
      </c>
      <c r="C119" s="37"/>
      <c r="D119" s="37"/>
      <c r="U119" s="1"/>
      <c r="V119" s="16" t="s">
        <v>1</v>
      </c>
      <c r="W119" s="1"/>
      <c r="X119" s="1"/>
      <c r="Y119" s="1"/>
      <c r="Z119" s="1"/>
      <c r="AA119" s="1"/>
      <c r="AB119" s="1"/>
      <c r="AC119" s="1"/>
      <c r="AD119" s="1"/>
      <c r="AE119" s="1"/>
      <c r="AF119" s="1"/>
    </row>
    <row r="120" spans="1:32" ht="16.5" thickBot="1" x14ac:dyDescent="0.3">
      <c r="A120" s="40">
        <v>120</v>
      </c>
      <c r="B120" s="39" t="s">
        <v>60</v>
      </c>
      <c r="C120" s="37"/>
      <c r="D120" s="37"/>
      <c r="U120" s="1"/>
      <c r="V120" s="1"/>
      <c r="W120" s="1"/>
      <c r="X120" s="1"/>
      <c r="Y120" s="7" t="s">
        <v>0</v>
      </c>
      <c r="Z120" s="1"/>
      <c r="AA120" s="1"/>
      <c r="AB120" s="1"/>
      <c r="AC120" s="1"/>
      <c r="AD120" s="10" t="s">
        <v>0</v>
      </c>
      <c r="AE120" s="1"/>
      <c r="AF120" s="1"/>
    </row>
    <row r="121" spans="1:32" ht="16.5" thickBot="1" x14ac:dyDescent="0.3">
      <c r="A121" s="40">
        <v>121</v>
      </c>
      <c r="B121" s="39" t="s">
        <v>61</v>
      </c>
      <c r="C121" s="37"/>
      <c r="D121" s="37"/>
      <c r="U121" s="1"/>
      <c r="V121" s="1"/>
      <c r="W121" s="1"/>
      <c r="X121" s="1"/>
      <c r="Y121" s="1"/>
      <c r="Z121" s="1"/>
      <c r="AA121" s="1"/>
      <c r="AB121" s="1"/>
      <c r="AC121" s="9" t="s">
        <v>0</v>
      </c>
      <c r="AD121" s="1"/>
      <c r="AE121" s="1"/>
      <c r="AF121" s="12" t="s">
        <v>0</v>
      </c>
    </row>
    <row r="122" spans="1:32" ht="16.5" thickBot="1" x14ac:dyDescent="0.3">
      <c r="A122" s="40">
        <v>122</v>
      </c>
      <c r="B122" s="39" t="s">
        <v>193</v>
      </c>
      <c r="C122" s="37"/>
      <c r="D122" s="37"/>
      <c r="U122" s="1"/>
      <c r="V122" s="1"/>
      <c r="W122" s="1"/>
      <c r="X122" s="6" t="s">
        <v>0</v>
      </c>
      <c r="Y122" s="1"/>
      <c r="Z122" s="1"/>
      <c r="AA122" s="1"/>
      <c r="AB122" s="1"/>
      <c r="AC122" s="1"/>
      <c r="AD122" s="10" t="s">
        <v>0</v>
      </c>
      <c r="AE122" s="1"/>
      <c r="AF122" s="1"/>
    </row>
    <row r="123" spans="1:32" ht="16.5" thickBot="1" x14ac:dyDescent="0.3">
      <c r="A123" s="40">
        <v>123</v>
      </c>
      <c r="B123" s="39" t="s">
        <v>194</v>
      </c>
      <c r="C123" s="37"/>
      <c r="D123" s="37"/>
      <c r="U123" s="1"/>
      <c r="V123" s="4" t="s">
        <v>0</v>
      </c>
      <c r="W123" s="1"/>
      <c r="X123" s="1"/>
      <c r="Y123" s="1"/>
      <c r="Z123" s="1"/>
      <c r="AA123" s="1"/>
      <c r="AB123" s="1"/>
      <c r="AC123" s="1"/>
      <c r="AD123" s="10" t="s">
        <v>0</v>
      </c>
      <c r="AE123" s="1"/>
      <c r="AF123" s="1"/>
    </row>
    <row r="124" spans="1:32" ht="16.5" thickBot="1" x14ac:dyDescent="0.3">
      <c r="A124" s="40">
        <v>124</v>
      </c>
      <c r="B124" s="39" t="s">
        <v>62</v>
      </c>
      <c r="C124" s="37"/>
      <c r="D124" s="37"/>
      <c r="U124" s="1"/>
      <c r="V124" s="1"/>
      <c r="W124" s="1"/>
      <c r="X124" s="1"/>
      <c r="Y124" s="1"/>
      <c r="Z124" s="1"/>
      <c r="AA124" s="1"/>
      <c r="AB124" s="22" t="s">
        <v>1</v>
      </c>
      <c r="AC124" s="1"/>
      <c r="AD124" s="1"/>
      <c r="AE124" s="1"/>
      <c r="AF124" s="12" t="s">
        <v>0</v>
      </c>
    </row>
    <row r="125" spans="1:32" ht="16.5" thickBot="1" x14ac:dyDescent="0.3">
      <c r="A125" s="40">
        <v>125</v>
      </c>
      <c r="B125" s="39" t="s">
        <v>195</v>
      </c>
      <c r="C125" s="37"/>
      <c r="D125" s="37"/>
      <c r="U125" s="1"/>
      <c r="V125" s="1"/>
      <c r="W125" s="1"/>
      <c r="X125" s="1"/>
      <c r="Y125" s="19" t="s">
        <v>1</v>
      </c>
      <c r="Z125" s="1"/>
      <c r="AA125" s="1"/>
      <c r="AB125" s="1"/>
      <c r="AC125" s="1"/>
      <c r="AD125" s="1"/>
      <c r="AE125" s="1"/>
      <c r="AF125" s="1"/>
    </row>
    <row r="126" spans="1:32" ht="16.5" thickBot="1" x14ac:dyDescent="0.3">
      <c r="A126" s="40">
        <v>126</v>
      </c>
      <c r="B126" s="39" t="s">
        <v>196</v>
      </c>
      <c r="C126" s="37"/>
      <c r="D126" s="37"/>
      <c r="U126" s="2" t="s">
        <v>0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</row>
    <row r="127" spans="1:32" ht="16.5" thickBot="1" x14ac:dyDescent="0.3">
      <c r="A127" s="40">
        <v>127</v>
      </c>
      <c r="B127" s="39" t="s">
        <v>197</v>
      </c>
      <c r="C127" s="37"/>
      <c r="D127" s="37"/>
      <c r="U127" s="2" t="s">
        <v>0</v>
      </c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25" t="s">
        <v>1</v>
      </c>
    </row>
    <row r="128" spans="1:32" ht="16.5" thickBot="1" x14ac:dyDescent="0.3">
      <c r="A128" s="40">
        <v>128</v>
      </c>
      <c r="B128" s="39" t="s">
        <v>198</v>
      </c>
      <c r="C128" s="37"/>
      <c r="D128" s="37"/>
      <c r="U128" s="1"/>
      <c r="V128" s="4" t="s">
        <v>0</v>
      </c>
      <c r="W128" s="1"/>
      <c r="X128" s="1"/>
      <c r="Y128" s="1"/>
      <c r="Z128" s="1"/>
      <c r="AA128" s="1"/>
      <c r="AB128" s="1"/>
      <c r="AC128" s="1"/>
      <c r="AD128" s="1"/>
      <c r="AE128" s="1"/>
      <c r="AF128" s="1"/>
    </row>
    <row r="129" spans="1:32" ht="16.5" thickBot="1" x14ac:dyDescent="0.3">
      <c r="A129" s="40">
        <v>129</v>
      </c>
      <c r="B129" s="39" t="s">
        <v>127</v>
      </c>
      <c r="C129" s="37"/>
      <c r="D129" s="37"/>
      <c r="U129" s="1"/>
      <c r="V129" s="1"/>
      <c r="W129" s="1"/>
      <c r="X129" s="1"/>
      <c r="Y129" s="1"/>
      <c r="Z129" s="1"/>
      <c r="AA129" s="1"/>
      <c r="AB129" s="22" t="s">
        <v>1</v>
      </c>
      <c r="AC129" s="1"/>
      <c r="AD129" s="1"/>
      <c r="AE129" s="1"/>
      <c r="AF129" s="12" t="s">
        <v>0</v>
      </c>
    </row>
    <row r="130" spans="1:32" ht="16.5" thickBot="1" x14ac:dyDescent="0.3">
      <c r="A130" s="40">
        <v>130</v>
      </c>
      <c r="B130" s="39" t="s">
        <v>199</v>
      </c>
      <c r="C130" s="37"/>
      <c r="D130" s="37"/>
      <c r="U130" s="1"/>
      <c r="V130" s="1"/>
      <c r="W130" s="5" t="s">
        <v>0</v>
      </c>
      <c r="X130" s="1"/>
      <c r="Y130" s="1"/>
      <c r="Z130" s="1"/>
      <c r="AA130" s="1"/>
      <c r="AB130" s="1"/>
      <c r="AC130" s="1"/>
      <c r="AD130" s="1"/>
      <c r="AE130" s="1"/>
      <c r="AF130" s="1"/>
    </row>
    <row r="131" spans="1:32" ht="16.5" thickBot="1" x14ac:dyDescent="0.3">
      <c r="A131" s="40">
        <v>131</v>
      </c>
      <c r="B131" s="39" t="s">
        <v>128</v>
      </c>
      <c r="C131" s="37"/>
      <c r="D131" s="37"/>
      <c r="U131" s="1"/>
      <c r="V131" s="1"/>
      <c r="W131" s="1"/>
      <c r="X131" s="1"/>
      <c r="Y131" s="1"/>
      <c r="Z131" s="1"/>
      <c r="AA131" s="20" t="s">
        <v>0</v>
      </c>
      <c r="AB131" s="1"/>
      <c r="AC131" s="1"/>
      <c r="AD131" s="1"/>
      <c r="AE131" s="1"/>
      <c r="AF131" s="1"/>
    </row>
    <row r="132" spans="1:32" ht="16.5" thickBot="1" x14ac:dyDescent="0.3">
      <c r="A132" s="40">
        <v>132</v>
      </c>
      <c r="B132" s="39" t="s">
        <v>200</v>
      </c>
      <c r="C132" s="37"/>
      <c r="D132" s="37"/>
      <c r="U132" s="1"/>
      <c r="V132" s="1"/>
      <c r="W132" s="1"/>
      <c r="X132" s="1"/>
      <c r="Y132" s="1"/>
      <c r="Z132" s="13" t="s">
        <v>0</v>
      </c>
      <c r="AA132" s="1"/>
      <c r="AB132" s="1"/>
      <c r="AC132" s="1"/>
      <c r="AD132" s="1"/>
      <c r="AE132" s="1"/>
      <c r="AF132" s="1"/>
    </row>
    <row r="133" spans="1:32" ht="16.5" thickBot="1" x14ac:dyDescent="0.3">
      <c r="A133" s="40">
        <v>133</v>
      </c>
      <c r="B133" s="39" t="s">
        <v>63</v>
      </c>
      <c r="C133" s="37"/>
      <c r="D133" s="37"/>
      <c r="U133" s="1"/>
      <c r="V133" s="1"/>
      <c r="W133" s="1"/>
      <c r="X133" s="6" t="s">
        <v>0</v>
      </c>
      <c r="Y133" s="1"/>
      <c r="Z133" s="1"/>
      <c r="AA133" s="1"/>
      <c r="AB133" s="1"/>
      <c r="AC133" s="1"/>
      <c r="AD133" s="1"/>
      <c r="AE133" s="1"/>
      <c r="AF133" s="1"/>
    </row>
    <row r="134" spans="1:32" ht="16.5" thickBot="1" x14ac:dyDescent="0.3">
      <c r="A134" s="40">
        <v>134</v>
      </c>
      <c r="B134" s="39" t="s">
        <v>201</v>
      </c>
      <c r="C134" s="37"/>
      <c r="D134" s="37"/>
      <c r="U134" s="1"/>
      <c r="V134" s="1"/>
      <c r="W134" s="1"/>
      <c r="X134" s="1"/>
      <c r="Y134" s="19" t="s">
        <v>1</v>
      </c>
      <c r="Z134" s="1"/>
      <c r="AA134" s="1"/>
      <c r="AB134" s="1"/>
      <c r="AC134" s="1"/>
      <c r="AD134" s="23" t="s">
        <v>1</v>
      </c>
      <c r="AE134" s="1"/>
      <c r="AF134" s="1"/>
    </row>
    <row r="135" spans="1:32" ht="16.5" thickBot="1" x14ac:dyDescent="0.3">
      <c r="A135" s="40">
        <v>135</v>
      </c>
      <c r="B135" s="39" t="s">
        <v>202</v>
      </c>
      <c r="C135" s="37"/>
      <c r="D135" s="37"/>
      <c r="U135" s="1"/>
      <c r="V135" s="1"/>
      <c r="W135" s="1"/>
      <c r="X135" s="1"/>
      <c r="Y135" s="1"/>
      <c r="Z135" s="1"/>
      <c r="AA135" s="1"/>
      <c r="AB135" s="8" t="s">
        <v>0</v>
      </c>
      <c r="AC135" s="1"/>
      <c r="AD135" s="1"/>
      <c r="AE135" s="1"/>
      <c r="AF135" s="1"/>
    </row>
    <row r="136" spans="1:32" ht="16.5" thickBot="1" x14ac:dyDescent="0.3">
      <c r="A136" s="40">
        <v>136</v>
      </c>
      <c r="B136" s="39" t="s">
        <v>129</v>
      </c>
      <c r="C136" s="37"/>
      <c r="D136" s="37"/>
      <c r="U136" s="1"/>
      <c r="V136" s="1"/>
      <c r="W136" s="1"/>
      <c r="X136" s="6" t="s">
        <v>0</v>
      </c>
      <c r="Y136" s="1"/>
      <c r="Z136" s="1"/>
      <c r="AA136" s="1"/>
      <c r="AB136" s="1"/>
      <c r="AC136" s="1"/>
      <c r="AD136" s="1"/>
      <c r="AE136" s="1"/>
      <c r="AF136" s="1"/>
    </row>
    <row r="137" spans="1:32" ht="16.5" thickBot="1" x14ac:dyDescent="0.3">
      <c r="A137" s="40">
        <v>137</v>
      </c>
      <c r="B137" s="39" t="s">
        <v>64</v>
      </c>
      <c r="C137" s="37"/>
      <c r="D137" s="37"/>
      <c r="U137" s="1"/>
      <c r="V137" s="1"/>
      <c r="W137" s="1"/>
      <c r="X137" s="1"/>
      <c r="Y137" s="1"/>
      <c r="Z137" s="1"/>
      <c r="AA137" s="1"/>
      <c r="AB137" s="8" t="s">
        <v>0</v>
      </c>
      <c r="AC137" s="1"/>
      <c r="AD137" s="1"/>
      <c r="AE137" s="1"/>
      <c r="AF137" s="1"/>
    </row>
    <row r="138" spans="1:32" ht="16.5" thickBot="1" x14ac:dyDescent="0.3">
      <c r="A138" s="40">
        <v>138</v>
      </c>
      <c r="B138" s="39" t="s">
        <v>65</v>
      </c>
      <c r="C138" s="37"/>
      <c r="D138" s="37"/>
      <c r="U138" s="1"/>
      <c r="V138" s="1"/>
      <c r="W138" s="5" t="s">
        <v>0</v>
      </c>
      <c r="X138" s="1"/>
      <c r="Y138" s="1"/>
      <c r="Z138" s="1"/>
      <c r="AA138" s="1"/>
      <c r="AB138" s="1"/>
      <c r="AC138" s="1"/>
      <c r="AD138" s="1"/>
      <c r="AE138" s="11" t="s">
        <v>0</v>
      </c>
      <c r="AF138" s="1"/>
    </row>
    <row r="139" spans="1:32" ht="16.5" thickBot="1" x14ac:dyDescent="0.3">
      <c r="A139" s="40">
        <v>139</v>
      </c>
      <c r="B139" s="39" t="s">
        <v>130</v>
      </c>
      <c r="C139" s="37"/>
      <c r="D139" s="37"/>
      <c r="U139" s="1"/>
      <c r="V139" s="4" t="s">
        <v>0</v>
      </c>
      <c r="W139" s="1"/>
      <c r="X139" s="1"/>
      <c r="Y139" s="1"/>
      <c r="Z139" s="1"/>
      <c r="AA139" s="1"/>
      <c r="AB139" s="1"/>
      <c r="AC139" s="1"/>
      <c r="AD139" s="10" t="s">
        <v>0</v>
      </c>
      <c r="AE139" s="1"/>
      <c r="AF139" s="1"/>
    </row>
    <row r="140" spans="1:32" ht="16.5" thickBot="1" x14ac:dyDescent="0.3">
      <c r="A140" s="40">
        <v>140</v>
      </c>
      <c r="B140" s="39" t="s">
        <v>66</v>
      </c>
      <c r="C140" s="37"/>
      <c r="D140" s="37"/>
      <c r="U140" s="1"/>
      <c r="V140" s="1"/>
      <c r="W140" s="5" t="s">
        <v>0</v>
      </c>
      <c r="X140" s="1"/>
      <c r="Y140" s="1"/>
      <c r="Z140" s="1"/>
      <c r="AA140" s="1"/>
      <c r="AB140" s="1"/>
      <c r="AC140" s="1"/>
      <c r="AD140" s="1"/>
      <c r="AE140" s="11" t="s">
        <v>0</v>
      </c>
      <c r="AF140" s="1"/>
    </row>
    <row r="141" spans="1:32" ht="16.5" thickBot="1" x14ac:dyDescent="0.3">
      <c r="A141" s="40">
        <v>141</v>
      </c>
      <c r="B141" s="39" t="s">
        <v>67</v>
      </c>
      <c r="C141" s="37"/>
      <c r="D141" s="37"/>
      <c r="U141" s="1"/>
      <c r="V141" s="1"/>
      <c r="W141" s="1"/>
      <c r="X141" s="1"/>
      <c r="Y141" s="1"/>
      <c r="Z141" s="1"/>
      <c r="AA141" s="1"/>
      <c r="AB141" s="1"/>
      <c r="AC141" s="9" t="s">
        <v>0</v>
      </c>
      <c r="AD141" s="1"/>
      <c r="AE141" s="1"/>
      <c r="AF141" s="1"/>
    </row>
    <row r="142" spans="1:32" ht="16.5" thickBot="1" x14ac:dyDescent="0.3">
      <c r="A142" s="40">
        <v>142</v>
      </c>
      <c r="B142" s="39" t="s">
        <v>131</v>
      </c>
      <c r="C142" s="37"/>
      <c r="D142" s="37"/>
      <c r="U142" s="1"/>
      <c r="V142" s="1"/>
      <c r="W142" s="1"/>
      <c r="X142" s="1"/>
      <c r="Y142" s="19" t="s">
        <v>1</v>
      </c>
      <c r="Z142" s="1"/>
      <c r="AA142" s="1"/>
      <c r="AB142" s="1"/>
      <c r="AC142" s="1"/>
      <c r="AD142" s="23" t="s">
        <v>1</v>
      </c>
      <c r="AE142" s="1"/>
      <c r="AF142" s="1"/>
    </row>
    <row r="143" spans="1:32" ht="16.5" thickBot="1" x14ac:dyDescent="0.3">
      <c r="A143" s="40">
        <v>143</v>
      </c>
      <c r="B143" s="39" t="s">
        <v>132</v>
      </c>
      <c r="C143" s="37"/>
      <c r="D143" s="37"/>
      <c r="U143" s="1"/>
      <c r="V143" s="1"/>
      <c r="W143" s="1"/>
      <c r="X143" s="1"/>
      <c r="Y143" s="1"/>
      <c r="Z143" s="1"/>
      <c r="AA143" s="1"/>
      <c r="AB143" s="8" t="s">
        <v>0</v>
      </c>
      <c r="AC143" s="1"/>
      <c r="AD143" s="1"/>
      <c r="AE143" s="1"/>
      <c r="AF143" s="25" t="s">
        <v>1</v>
      </c>
    </row>
    <row r="144" spans="1:32" ht="16.5" thickBot="1" x14ac:dyDescent="0.3">
      <c r="A144" s="40">
        <v>144</v>
      </c>
      <c r="B144" s="39" t="s">
        <v>68</v>
      </c>
      <c r="C144" s="37"/>
      <c r="D144" s="37"/>
      <c r="U144" s="1"/>
      <c r="V144" s="1"/>
      <c r="W144" s="1"/>
      <c r="X144" s="1"/>
      <c r="Y144" s="1"/>
      <c r="Z144" s="1"/>
      <c r="AA144" s="1"/>
      <c r="AB144" s="8" t="s">
        <v>0</v>
      </c>
      <c r="AC144" s="1"/>
      <c r="AD144" s="1"/>
      <c r="AE144" s="1"/>
      <c r="AF144" s="25" t="s">
        <v>1</v>
      </c>
    </row>
    <row r="145" spans="1:32" ht="16.5" thickBot="1" x14ac:dyDescent="0.3">
      <c r="A145" s="40">
        <v>145</v>
      </c>
      <c r="B145" s="39" t="s">
        <v>203</v>
      </c>
      <c r="C145" s="38"/>
      <c r="D145" s="37"/>
      <c r="U145" s="1"/>
      <c r="V145" s="4" t="s">
        <v>0</v>
      </c>
      <c r="W145" s="1"/>
      <c r="X145" s="1"/>
      <c r="Y145" s="1"/>
      <c r="Z145" s="1"/>
      <c r="AA145" s="1"/>
      <c r="AB145" s="1"/>
      <c r="AC145" s="1"/>
      <c r="AD145" s="1"/>
      <c r="AE145" s="1"/>
      <c r="AF145" s="1"/>
    </row>
    <row r="146" spans="1:32" ht="16.5" thickBot="1" x14ac:dyDescent="0.3">
      <c r="A146" s="40">
        <v>146</v>
      </c>
      <c r="B146" s="39" t="s">
        <v>204</v>
      </c>
      <c r="C146" s="37"/>
      <c r="D146" s="37"/>
      <c r="U146" s="1"/>
      <c r="V146" s="1"/>
      <c r="W146" s="1"/>
      <c r="X146" s="6" t="s">
        <v>0</v>
      </c>
      <c r="Y146" s="1"/>
      <c r="Z146" s="1"/>
      <c r="AA146" s="1"/>
      <c r="AB146" s="1"/>
      <c r="AC146" s="1"/>
      <c r="AD146" s="1"/>
      <c r="AE146" s="1"/>
      <c r="AF146" s="1"/>
    </row>
    <row r="147" spans="1:32" ht="16.5" thickBot="1" x14ac:dyDescent="0.3">
      <c r="A147" s="40">
        <v>147</v>
      </c>
      <c r="B147" s="39" t="s">
        <v>133</v>
      </c>
      <c r="C147" s="37"/>
      <c r="D147" s="37"/>
      <c r="U147" s="1"/>
      <c r="V147" s="1"/>
      <c r="W147" s="5" t="s">
        <v>0</v>
      </c>
      <c r="X147" s="1"/>
      <c r="Y147" s="1"/>
      <c r="Z147" s="1"/>
      <c r="AA147" s="1"/>
      <c r="AB147" s="1"/>
      <c r="AC147" s="1"/>
      <c r="AD147" s="1"/>
      <c r="AE147" s="1"/>
      <c r="AF147" s="25" t="s">
        <v>1</v>
      </c>
    </row>
    <row r="148" spans="1:32" ht="16.5" thickBot="1" x14ac:dyDescent="0.3">
      <c r="A148" s="40">
        <v>148</v>
      </c>
      <c r="B148" s="39" t="s">
        <v>205</v>
      </c>
      <c r="C148" s="37"/>
      <c r="D148" s="37"/>
      <c r="U148" s="1"/>
      <c r="V148" s="1"/>
      <c r="W148" s="1"/>
      <c r="X148" s="1"/>
      <c r="Y148" s="1"/>
      <c r="Z148" s="1"/>
      <c r="AA148" s="1"/>
      <c r="AB148" s="8" t="s">
        <v>0</v>
      </c>
      <c r="AC148" s="1"/>
      <c r="AD148" s="1"/>
      <c r="AE148" s="1"/>
      <c r="AF148" s="25" t="s">
        <v>1</v>
      </c>
    </row>
    <row r="149" spans="1:32" ht="16.5" thickBot="1" x14ac:dyDescent="0.3">
      <c r="A149" s="40">
        <v>149</v>
      </c>
      <c r="B149" s="39" t="s">
        <v>134</v>
      </c>
      <c r="C149" s="37"/>
      <c r="D149" s="37"/>
      <c r="U149" s="1"/>
      <c r="V149" s="1"/>
      <c r="W149" s="1"/>
      <c r="X149" s="6" t="s">
        <v>0</v>
      </c>
      <c r="Y149" s="1"/>
      <c r="Z149" s="1"/>
      <c r="AA149" s="1"/>
      <c r="AB149" s="1"/>
      <c r="AC149" s="1"/>
      <c r="AD149" s="1"/>
      <c r="AE149" s="1"/>
      <c r="AF149" s="1"/>
    </row>
    <row r="150" spans="1:32" ht="16.5" thickBot="1" x14ac:dyDescent="0.3">
      <c r="A150" s="40">
        <v>150</v>
      </c>
      <c r="B150" s="39" t="s">
        <v>135</v>
      </c>
      <c r="C150" s="37"/>
      <c r="D150" s="37"/>
      <c r="U150" s="1"/>
      <c r="V150" s="1"/>
      <c r="W150" s="1"/>
      <c r="X150" s="1"/>
      <c r="Y150" s="1"/>
      <c r="Z150" s="1"/>
      <c r="AA150" s="20" t="s">
        <v>0</v>
      </c>
      <c r="AB150" s="1"/>
      <c r="AC150" s="1"/>
      <c r="AD150" s="1"/>
      <c r="AE150" s="1"/>
      <c r="AF150" s="1"/>
    </row>
    <row r="151" spans="1:32" ht="16.5" thickBot="1" x14ac:dyDescent="0.3">
      <c r="A151" s="40">
        <v>151</v>
      </c>
      <c r="B151" s="39" t="s">
        <v>206</v>
      </c>
      <c r="C151" s="37"/>
      <c r="D151" s="37"/>
      <c r="U151" s="1"/>
      <c r="V151" s="1"/>
      <c r="W151" s="1"/>
      <c r="X151" s="1"/>
      <c r="Y151" s="1"/>
      <c r="Z151" s="1"/>
      <c r="AA151" s="1"/>
      <c r="AB151" s="8" t="s">
        <v>0</v>
      </c>
      <c r="AC151" s="1"/>
      <c r="AD151" s="1"/>
      <c r="AE151" s="1"/>
      <c r="AF151" s="25" t="s">
        <v>1</v>
      </c>
    </row>
    <row r="152" spans="1:32" ht="16.5" thickBot="1" x14ac:dyDescent="0.3">
      <c r="A152" s="40">
        <v>152</v>
      </c>
      <c r="B152" s="39" t="s">
        <v>207</v>
      </c>
      <c r="C152" s="37"/>
      <c r="D152" s="37"/>
      <c r="U152" s="1"/>
      <c r="V152" s="1"/>
      <c r="W152" s="5" t="s">
        <v>0</v>
      </c>
      <c r="X152" s="1"/>
      <c r="Y152" s="1"/>
      <c r="Z152" s="1"/>
      <c r="AA152" s="1"/>
      <c r="AB152" s="1"/>
      <c r="AC152" s="1"/>
      <c r="AD152" s="1"/>
      <c r="AE152" s="11" t="s">
        <v>0</v>
      </c>
      <c r="AF152" s="1"/>
    </row>
    <row r="153" spans="1:32" ht="16.5" thickBot="1" x14ac:dyDescent="0.3">
      <c r="A153" s="40">
        <v>153</v>
      </c>
      <c r="B153" s="39" t="s">
        <v>69</v>
      </c>
      <c r="C153" s="37"/>
      <c r="D153" s="37"/>
      <c r="U153" s="2" t="s">
        <v>0</v>
      </c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</row>
    <row r="154" spans="1:32" ht="16.5" thickBot="1" x14ac:dyDescent="0.3">
      <c r="A154" s="40">
        <v>154</v>
      </c>
      <c r="B154" s="39" t="s">
        <v>70</v>
      </c>
      <c r="C154" s="37"/>
      <c r="D154" s="37"/>
      <c r="U154" s="2" t="s">
        <v>0</v>
      </c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</row>
    <row r="155" spans="1:32" ht="16.5" thickBot="1" x14ac:dyDescent="0.3">
      <c r="A155" s="40">
        <v>155</v>
      </c>
      <c r="B155" s="39" t="s">
        <v>136</v>
      </c>
      <c r="C155" s="37"/>
      <c r="D155" s="37"/>
      <c r="U155" s="1"/>
      <c r="V155" s="1"/>
      <c r="W155" s="1"/>
      <c r="X155" s="6" t="s">
        <v>0</v>
      </c>
      <c r="Y155" s="1"/>
      <c r="Z155" s="1"/>
      <c r="AA155" s="1"/>
      <c r="AB155" s="1"/>
      <c r="AC155" s="1"/>
      <c r="AD155" s="1"/>
      <c r="AE155" s="11" t="s">
        <v>0</v>
      </c>
      <c r="AF155" s="1"/>
    </row>
    <row r="156" spans="1:32" ht="16.5" thickBot="1" x14ac:dyDescent="0.3">
      <c r="A156" s="40">
        <v>156</v>
      </c>
      <c r="B156" s="39" t="s">
        <v>208</v>
      </c>
      <c r="C156" s="37"/>
      <c r="D156" s="37"/>
      <c r="U156" s="1"/>
      <c r="V156" s="1"/>
      <c r="W156" s="1"/>
      <c r="X156" s="1"/>
      <c r="Y156" s="1"/>
      <c r="Z156" s="13" t="s">
        <v>0</v>
      </c>
      <c r="AA156" s="1"/>
      <c r="AB156" s="1"/>
      <c r="AC156" s="1"/>
      <c r="AD156" s="1"/>
      <c r="AE156" s="1"/>
      <c r="AF156" s="1"/>
    </row>
    <row r="157" spans="1:32" ht="16.5" thickBot="1" x14ac:dyDescent="0.3">
      <c r="A157" s="40">
        <v>157</v>
      </c>
      <c r="B157" s="39" t="s">
        <v>71</v>
      </c>
      <c r="C157" s="37"/>
      <c r="D157" s="37"/>
      <c r="U157" s="1"/>
      <c r="V157" s="1"/>
      <c r="W157" s="5" t="s">
        <v>0</v>
      </c>
      <c r="X157" s="1"/>
      <c r="Y157" s="1"/>
      <c r="Z157" s="1"/>
      <c r="AA157" s="1"/>
      <c r="AB157" s="1"/>
      <c r="AC157" s="1"/>
      <c r="AD157" s="1"/>
      <c r="AE157" s="11" t="s">
        <v>0</v>
      </c>
      <c r="AF157" s="1"/>
    </row>
    <row r="158" spans="1:32" ht="16.5" thickBot="1" x14ac:dyDescent="0.3">
      <c r="A158" s="40">
        <v>158</v>
      </c>
      <c r="B158" s="39" t="s">
        <v>209</v>
      </c>
      <c r="C158" s="37"/>
      <c r="D158" s="37"/>
      <c r="U158" s="1"/>
      <c r="V158" s="1"/>
      <c r="W158" s="5" t="s">
        <v>0</v>
      </c>
      <c r="X158" s="1"/>
      <c r="Y158" s="1"/>
      <c r="Z158" s="1"/>
      <c r="AA158" s="1"/>
      <c r="AB158" s="1"/>
      <c r="AC158" s="1"/>
      <c r="AD158" s="1"/>
      <c r="AE158" s="1"/>
      <c r="AF158" s="1"/>
    </row>
    <row r="159" spans="1:32" ht="16.5" thickBot="1" x14ac:dyDescent="0.3">
      <c r="A159" s="40">
        <v>159</v>
      </c>
      <c r="B159" s="39" t="s">
        <v>72</v>
      </c>
      <c r="C159" s="37"/>
      <c r="D159" s="37"/>
      <c r="U159" s="2" t="s">
        <v>0</v>
      </c>
      <c r="V159" s="1"/>
      <c r="W159" s="1"/>
      <c r="X159" s="1"/>
      <c r="Y159" s="1"/>
      <c r="Z159" s="1"/>
      <c r="AA159" s="1"/>
      <c r="AB159" s="1"/>
      <c r="AC159" s="1"/>
      <c r="AD159" s="1"/>
      <c r="AE159" s="11" t="s">
        <v>0</v>
      </c>
      <c r="AF159" s="1"/>
    </row>
    <row r="160" spans="1:32" ht="16.5" thickBot="1" x14ac:dyDescent="0.3">
      <c r="A160" s="40">
        <v>160</v>
      </c>
      <c r="B160" s="39" t="s">
        <v>73</v>
      </c>
      <c r="C160" s="37"/>
      <c r="D160" s="37"/>
      <c r="U160" s="2" t="s">
        <v>0</v>
      </c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</row>
    <row r="161" spans="1:32" ht="16.5" thickBot="1" x14ac:dyDescent="0.3">
      <c r="A161" s="40">
        <v>161</v>
      </c>
      <c r="B161" s="39" t="s">
        <v>74</v>
      </c>
      <c r="C161" s="37"/>
      <c r="D161" s="37"/>
      <c r="U161" s="1"/>
      <c r="V161" s="1"/>
      <c r="W161" s="1"/>
      <c r="X161" s="1"/>
      <c r="Y161" s="1"/>
      <c r="Z161" s="1"/>
      <c r="AA161" s="20" t="s">
        <v>0</v>
      </c>
      <c r="AB161" s="1"/>
      <c r="AC161" s="1"/>
      <c r="AD161" s="1"/>
      <c r="AE161" s="1"/>
      <c r="AF161" s="1"/>
    </row>
    <row r="162" spans="1:32" ht="16.5" thickBot="1" x14ac:dyDescent="0.3">
      <c r="A162" s="40">
        <v>162</v>
      </c>
      <c r="B162" s="39" t="s">
        <v>210</v>
      </c>
      <c r="C162" s="37"/>
      <c r="D162" s="37"/>
      <c r="U162" s="1"/>
      <c r="V162" s="1"/>
      <c r="W162" s="1"/>
      <c r="X162" s="6" t="s">
        <v>0</v>
      </c>
      <c r="Y162" s="1"/>
      <c r="Z162" s="1"/>
      <c r="AA162" s="1"/>
      <c r="AB162" s="1"/>
      <c r="AC162" s="1"/>
      <c r="AD162" s="1"/>
      <c r="AE162" s="1"/>
      <c r="AF162" s="1"/>
    </row>
    <row r="163" spans="1:32" ht="16.5" thickBot="1" x14ac:dyDescent="0.3">
      <c r="A163" s="40">
        <v>163</v>
      </c>
      <c r="B163" s="39" t="s">
        <v>75</v>
      </c>
      <c r="C163" s="37"/>
      <c r="D163" s="37"/>
      <c r="U163" s="1"/>
      <c r="V163" s="1"/>
      <c r="W163" s="1"/>
      <c r="X163" s="6" t="s">
        <v>0</v>
      </c>
      <c r="Y163" s="1"/>
      <c r="Z163" s="1"/>
      <c r="AA163" s="1"/>
      <c r="AB163" s="1"/>
      <c r="AC163" s="1"/>
      <c r="AD163" s="1"/>
      <c r="AE163" s="11" t="s">
        <v>0</v>
      </c>
      <c r="AF163" s="1"/>
    </row>
    <row r="164" spans="1:32" ht="16.5" thickBot="1" x14ac:dyDescent="0.3">
      <c r="A164" s="40">
        <v>164</v>
      </c>
      <c r="B164" s="39" t="s">
        <v>211</v>
      </c>
      <c r="C164" s="37"/>
      <c r="D164" s="37"/>
      <c r="U164" s="1"/>
      <c r="V164" s="1"/>
      <c r="W164" s="5" t="s">
        <v>0</v>
      </c>
      <c r="X164" s="1"/>
      <c r="Y164" s="1"/>
      <c r="Z164" s="1"/>
      <c r="AA164" s="1"/>
      <c r="AB164" s="1"/>
      <c r="AC164" s="1"/>
      <c r="AD164" s="1"/>
      <c r="AE164" s="11" t="s">
        <v>0</v>
      </c>
      <c r="AF164" s="1"/>
    </row>
    <row r="165" spans="1:32" ht="16.5" thickBot="1" x14ac:dyDescent="0.3">
      <c r="A165" s="40">
        <v>165</v>
      </c>
      <c r="B165" s="39" t="s">
        <v>76</v>
      </c>
      <c r="C165" s="37"/>
      <c r="D165" s="37"/>
      <c r="U165" s="1"/>
      <c r="V165" s="4" t="s">
        <v>0</v>
      </c>
      <c r="W165" s="1"/>
      <c r="X165" s="1"/>
      <c r="Y165" s="1"/>
      <c r="Z165" s="1"/>
      <c r="AA165" s="1"/>
      <c r="AB165" s="1"/>
      <c r="AC165" s="1"/>
      <c r="AD165" s="10" t="s">
        <v>0</v>
      </c>
      <c r="AE165" s="1"/>
      <c r="AF165" s="1"/>
    </row>
    <row r="166" spans="1:32" ht="16.5" thickBot="1" x14ac:dyDescent="0.3">
      <c r="A166" s="40">
        <v>166</v>
      </c>
      <c r="B166" s="39" t="s">
        <v>77</v>
      </c>
      <c r="C166" s="37"/>
      <c r="D166" s="37"/>
      <c r="U166" s="1"/>
      <c r="V166" s="1"/>
      <c r="W166" s="1"/>
      <c r="X166" s="1"/>
      <c r="Y166" s="1"/>
      <c r="Z166" s="13" t="s">
        <v>0</v>
      </c>
      <c r="AA166" s="1"/>
      <c r="AB166" s="1"/>
      <c r="AC166" s="1"/>
      <c r="AD166" s="1"/>
      <c r="AE166" s="1"/>
      <c r="AF166" s="1"/>
    </row>
    <row r="167" spans="1:32" ht="16.5" thickBot="1" x14ac:dyDescent="0.3">
      <c r="A167" s="40">
        <v>167</v>
      </c>
      <c r="B167" s="39" t="s">
        <v>78</v>
      </c>
      <c r="C167" s="37"/>
      <c r="D167" s="37"/>
      <c r="U167" s="1"/>
      <c r="V167" s="1"/>
      <c r="W167" s="1"/>
      <c r="X167" s="1"/>
      <c r="Y167" s="1"/>
      <c r="Z167" s="13" t="s">
        <v>0</v>
      </c>
      <c r="AA167" s="1"/>
      <c r="AB167" s="1"/>
      <c r="AC167" s="1"/>
      <c r="AD167" s="1"/>
      <c r="AE167" s="1"/>
      <c r="AF167" s="12" t="s">
        <v>0</v>
      </c>
    </row>
    <row r="168" spans="1:32" ht="16.5" thickBot="1" x14ac:dyDescent="0.3">
      <c r="A168" s="40">
        <v>168</v>
      </c>
      <c r="B168" s="39" t="s">
        <v>137</v>
      </c>
      <c r="C168" s="37"/>
      <c r="D168" s="37"/>
      <c r="U168" s="1"/>
      <c r="V168" s="1"/>
      <c r="W168" s="1"/>
      <c r="X168" s="1"/>
      <c r="Y168" s="1"/>
      <c r="Z168" s="1"/>
      <c r="AA168" s="1"/>
      <c r="AB168" s="1"/>
      <c r="AC168" s="9" t="s">
        <v>0</v>
      </c>
      <c r="AD168" s="1"/>
      <c r="AE168" s="11" t="s">
        <v>0</v>
      </c>
      <c r="AF168" s="1"/>
    </row>
    <row r="169" spans="1:32" ht="16.5" thickBot="1" x14ac:dyDescent="0.3">
      <c r="A169" s="40">
        <v>169</v>
      </c>
      <c r="B169" s="39" t="s">
        <v>79</v>
      </c>
      <c r="C169" s="37"/>
      <c r="D169" s="37"/>
      <c r="U169" s="1"/>
      <c r="V169" s="4" t="s">
        <v>0</v>
      </c>
      <c r="W169" s="1"/>
      <c r="X169" s="1"/>
      <c r="Y169" s="1"/>
      <c r="Z169" s="1"/>
      <c r="AA169" s="1"/>
      <c r="AB169" s="1"/>
      <c r="AC169" s="1"/>
      <c r="AD169" s="1"/>
      <c r="AE169" s="1"/>
      <c r="AF169" s="1"/>
    </row>
    <row r="170" spans="1:32" ht="16.5" thickBot="1" x14ac:dyDescent="0.3">
      <c r="A170" s="40">
        <v>170</v>
      </c>
      <c r="B170" s="39" t="s">
        <v>212</v>
      </c>
      <c r="C170" s="37"/>
      <c r="D170" s="37"/>
      <c r="U170" s="2" t="s">
        <v>0</v>
      </c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</row>
    <row r="171" spans="1:32" ht="16.5" thickBot="1" x14ac:dyDescent="0.3">
      <c r="A171" s="40">
        <v>171</v>
      </c>
      <c r="B171" s="39" t="s">
        <v>213</v>
      </c>
      <c r="C171" s="37"/>
      <c r="D171" s="37"/>
      <c r="U171" s="1"/>
      <c r="V171" s="4" t="s">
        <v>0</v>
      </c>
      <c r="W171" s="1"/>
      <c r="X171" s="1"/>
      <c r="Y171" s="1"/>
      <c r="Z171" s="1"/>
      <c r="AA171" s="1"/>
      <c r="AB171" s="1"/>
      <c r="AC171" s="1"/>
      <c r="AD171" s="1"/>
      <c r="AE171" s="1"/>
      <c r="AF171" s="1"/>
    </row>
    <row r="172" spans="1:32" ht="16.5" thickBot="1" x14ac:dyDescent="0.3">
      <c r="A172" s="40">
        <v>172</v>
      </c>
      <c r="B172" s="39" t="s">
        <v>214</v>
      </c>
      <c r="C172" s="37"/>
      <c r="D172" s="37"/>
      <c r="U172" s="1"/>
      <c r="V172" s="1"/>
      <c r="W172" s="1"/>
      <c r="X172" s="1"/>
      <c r="Y172" s="7" t="s">
        <v>0</v>
      </c>
      <c r="Z172" s="1"/>
      <c r="AA172" s="1"/>
      <c r="AB172" s="1"/>
      <c r="AC172" s="1"/>
      <c r="AD172" s="10" t="s">
        <v>0</v>
      </c>
      <c r="AE172" s="1"/>
      <c r="AF172" s="1"/>
    </row>
    <row r="173" spans="1:32" ht="16.5" thickBot="1" x14ac:dyDescent="0.3">
      <c r="A173" s="40">
        <v>173</v>
      </c>
      <c r="B173" s="39" t="s">
        <v>138</v>
      </c>
      <c r="C173" s="37"/>
      <c r="D173" s="37"/>
      <c r="U173" s="1"/>
      <c r="V173" s="1"/>
      <c r="W173" s="1"/>
      <c r="X173" s="1"/>
      <c r="Y173" s="1"/>
      <c r="Z173" s="13" t="s">
        <v>0</v>
      </c>
      <c r="AA173" s="1"/>
      <c r="AB173" s="1"/>
      <c r="AC173" s="1"/>
      <c r="AD173" s="1"/>
      <c r="AE173" s="1"/>
      <c r="AF173" s="1"/>
    </row>
    <row r="174" spans="1:32" ht="16.5" thickBot="1" x14ac:dyDescent="0.3">
      <c r="A174" s="40">
        <v>174</v>
      </c>
      <c r="B174" s="39" t="s">
        <v>215</v>
      </c>
      <c r="C174" s="37"/>
      <c r="D174" s="37"/>
      <c r="U174" s="1"/>
      <c r="V174" s="1"/>
      <c r="W174" s="1"/>
      <c r="X174" s="1"/>
      <c r="Y174" s="7" t="s">
        <v>0</v>
      </c>
      <c r="Z174" s="1"/>
      <c r="AA174" s="1"/>
      <c r="AB174" s="1"/>
      <c r="AC174" s="1"/>
      <c r="AD174" s="10" t="s">
        <v>0</v>
      </c>
      <c r="AE174" s="1"/>
      <c r="AF174" s="1"/>
    </row>
    <row r="175" spans="1:32" ht="16.5" thickBot="1" x14ac:dyDescent="0.3">
      <c r="A175" s="40">
        <v>175</v>
      </c>
      <c r="B175" s="39" t="s">
        <v>80</v>
      </c>
      <c r="C175" s="37"/>
      <c r="D175" s="37"/>
      <c r="U175" s="1"/>
      <c r="V175" s="1"/>
      <c r="W175" s="1"/>
      <c r="X175" s="6" t="s">
        <v>0</v>
      </c>
      <c r="Y175" s="1"/>
      <c r="Z175" s="1"/>
      <c r="AA175" s="1"/>
      <c r="AB175" s="1"/>
      <c r="AC175" s="1"/>
      <c r="AD175" s="1"/>
      <c r="AE175" s="11" t="s">
        <v>0</v>
      </c>
      <c r="AF175" s="1"/>
    </row>
    <row r="176" spans="1:32" ht="16.5" thickBot="1" x14ac:dyDescent="0.3">
      <c r="A176" s="40">
        <v>176</v>
      </c>
      <c r="B176" s="39" t="s">
        <v>81</v>
      </c>
      <c r="C176" s="37"/>
      <c r="D176" s="37"/>
      <c r="U176" s="1"/>
      <c r="V176" s="1"/>
      <c r="W176" s="1"/>
      <c r="X176" s="1"/>
      <c r="Y176" s="19" t="s">
        <v>1</v>
      </c>
      <c r="Z176" s="1"/>
      <c r="AA176" s="1"/>
      <c r="AB176" s="1"/>
      <c r="AC176" s="1"/>
      <c r="AD176" s="1"/>
      <c r="AE176" s="1"/>
      <c r="AF176" s="1"/>
    </row>
    <row r="177" spans="1:32" ht="16.5" thickBot="1" x14ac:dyDescent="0.3">
      <c r="A177" s="40">
        <v>177</v>
      </c>
      <c r="B177" s="39" t="s">
        <v>139</v>
      </c>
      <c r="C177" s="37"/>
      <c r="D177" s="37"/>
      <c r="U177" s="1"/>
      <c r="V177" s="1"/>
      <c r="W177" s="5" t="s">
        <v>0</v>
      </c>
      <c r="X177" s="1"/>
      <c r="Y177" s="1"/>
      <c r="Z177" s="1"/>
      <c r="AA177" s="1"/>
      <c r="AB177" s="1"/>
      <c r="AC177" s="1"/>
      <c r="AD177" s="1"/>
      <c r="AE177" s="1"/>
      <c r="AF177" s="1"/>
    </row>
    <row r="178" spans="1:32" ht="16.5" thickBot="1" x14ac:dyDescent="0.3">
      <c r="A178" s="40">
        <v>178</v>
      </c>
      <c r="B178" s="39" t="s">
        <v>216</v>
      </c>
      <c r="C178" s="37"/>
      <c r="D178" s="37"/>
      <c r="U178" s="1"/>
      <c r="V178" s="1"/>
      <c r="W178" s="17" t="s">
        <v>1</v>
      </c>
      <c r="X178" s="1"/>
      <c r="Y178" s="1"/>
      <c r="Z178" s="1"/>
      <c r="AA178" s="1"/>
      <c r="AB178" s="1"/>
      <c r="AC178" s="1"/>
      <c r="AD178" s="1"/>
      <c r="AE178" s="1"/>
      <c r="AF178" s="12" t="s">
        <v>0</v>
      </c>
    </row>
    <row r="179" spans="1:32" ht="16.5" thickBot="1" x14ac:dyDescent="0.3">
      <c r="A179" s="40">
        <v>179</v>
      </c>
      <c r="B179" s="39" t="s">
        <v>140</v>
      </c>
      <c r="C179" s="37"/>
      <c r="D179" s="37"/>
      <c r="U179" s="1"/>
      <c r="V179" s="1"/>
      <c r="W179" s="1"/>
      <c r="X179" s="1"/>
      <c r="Y179" s="1"/>
      <c r="Z179" s="1"/>
      <c r="AA179" s="1"/>
      <c r="AB179" s="1"/>
      <c r="AC179" s="9" t="s">
        <v>0</v>
      </c>
      <c r="AD179" s="1"/>
      <c r="AE179" s="1"/>
      <c r="AF179" s="1"/>
    </row>
    <row r="180" spans="1:32" ht="16.5" thickBot="1" x14ac:dyDescent="0.3">
      <c r="A180" s="40">
        <v>180</v>
      </c>
      <c r="B180" s="39" t="s">
        <v>217</v>
      </c>
      <c r="C180" s="37"/>
      <c r="D180" s="37"/>
      <c r="U180" s="1"/>
      <c r="V180" s="1"/>
      <c r="W180" s="1"/>
      <c r="X180" s="1"/>
      <c r="Y180" s="19" t="s">
        <v>1</v>
      </c>
      <c r="Z180" s="1"/>
      <c r="AA180" s="1"/>
      <c r="AB180" s="1"/>
      <c r="AC180" s="1"/>
      <c r="AD180" s="1"/>
      <c r="AE180" s="1"/>
      <c r="AF180" s="1"/>
    </row>
    <row r="181" spans="1:32" ht="16.5" thickBot="1" x14ac:dyDescent="0.3">
      <c r="A181" s="40">
        <v>181</v>
      </c>
      <c r="B181" s="39" t="s">
        <v>218</v>
      </c>
      <c r="C181" s="37"/>
      <c r="D181" s="37"/>
      <c r="U181" s="1"/>
      <c r="V181" s="1"/>
      <c r="W181" s="1"/>
      <c r="X181" s="1"/>
      <c r="Y181" s="7" t="s">
        <v>0</v>
      </c>
      <c r="Z181" s="1"/>
      <c r="AA181" s="1"/>
      <c r="AB181" s="1"/>
      <c r="AC181" s="1"/>
      <c r="AD181" s="10" t="s">
        <v>0</v>
      </c>
      <c r="AE181" s="1"/>
      <c r="AF181" s="1"/>
    </row>
    <row r="182" spans="1:32" ht="16.5" thickBot="1" x14ac:dyDescent="0.3">
      <c r="A182" s="40">
        <v>182</v>
      </c>
      <c r="B182" s="39" t="s">
        <v>82</v>
      </c>
      <c r="C182" s="37"/>
      <c r="D182" s="37"/>
      <c r="U182" s="1"/>
      <c r="V182" s="4" t="s">
        <v>0</v>
      </c>
      <c r="W182" s="1"/>
      <c r="X182" s="1"/>
      <c r="Y182" s="1"/>
      <c r="Z182" s="1"/>
      <c r="AA182" s="1"/>
      <c r="AB182" s="1"/>
      <c r="AC182" s="1"/>
      <c r="AD182" s="1"/>
      <c r="AE182" s="1"/>
      <c r="AF182" s="1"/>
    </row>
    <row r="183" spans="1:32" ht="16.5" thickBot="1" x14ac:dyDescent="0.3">
      <c r="A183" s="40">
        <v>183</v>
      </c>
      <c r="B183" s="39" t="s">
        <v>219</v>
      </c>
      <c r="C183" s="37"/>
      <c r="D183" s="37"/>
      <c r="U183" s="1"/>
      <c r="V183" s="1"/>
      <c r="W183" s="1"/>
      <c r="X183" s="1"/>
      <c r="Y183" s="1"/>
      <c r="Z183" s="1"/>
      <c r="AA183" s="20" t="s">
        <v>0</v>
      </c>
      <c r="AB183" s="1"/>
      <c r="AC183" s="1"/>
      <c r="AD183" s="1"/>
      <c r="AE183" s="1"/>
      <c r="AF183" s="1"/>
    </row>
    <row r="184" spans="1:32" ht="16.5" thickBot="1" x14ac:dyDescent="0.3">
      <c r="A184" s="40">
        <v>184</v>
      </c>
      <c r="B184" s="39" t="s">
        <v>141</v>
      </c>
      <c r="C184" s="37"/>
      <c r="D184" s="37"/>
      <c r="U184" s="1"/>
      <c r="V184" s="1"/>
      <c r="W184" s="1"/>
      <c r="X184" s="1"/>
      <c r="Y184" s="1"/>
      <c r="Z184" s="1"/>
      <c r="AA184" s="20" t="s">
        <v>0</v>
      </c>
      <c r="AB184" s="1"/>
      <c r="AC184" s="1"/>
      <c r="AD184" s="1"/>
      <c r="AE184" s="1"/>
      <c r="AF184" s="1"/>
    </row>
    <row r="185" spans="1:32" ht="16.5" thickBot="1" x14ac:dyDescent="0.3">
      <c r="A185" s="40">
        <v>185</v>
      </c>
      <c r="B185" s="39" t="s">
        <v>142</v>
      </c>
      <c r="C185" s="37"/>
      <c r="D185" s="37"/>
      <c r="U185" s="1"/>
      <c r="V185" s="16" t="s">
        <v>1</v>
      </c>
      <c r="W185" s="1"/>
      <c r="X185" s="1"/>
      <c r="Y185" s="1"/>
      <c r="Z185" s="1"/>
      <c r="AA185" s="1"/>
      <c r="AB185" s="1"/>
      <c r="AC185" s="1"/>
      <c r="AD185" s="1"/>
      <c r="AE185" s="1"/>
      <c r="AF185" s="1"/>
    </row>
    <row r="186" spans="1:32" ht="16.5" thickBot="1" x14ac:dyDescent="0.3">
      <c r="A186" s="40">
        <v>186</v>
      </c>
      <c r="B186" s="39" t="s">
        <v>220</v>
      </c>
      <c r="C186" s="37"/>
      <c r="D186" s="37"/>
      <c r="U186" s="1"/>
      <c r="V186" s="1"/>
      <c r="W186" s="1"/>
      <c r="X186" s="1"/>
      <c r="Y186" s="7" t="s">
        <v>0</v>
      </c>
      <c r="Z186" s="1"/>
      <c r="AA186" s="1"/>
      <c r="AB186" s="1"/>
      <c r="AC186" s="1"/>
      <c r="AD186" s="1"/>
      <c r="AE186" s="1"/>
      <c r="AF186" s="1"/>
    </row>
    <row r="187" spans="1:32" ht="16.5" thickBot="1" x14ac:dyDescent="0.3">
      <c r="A187" s="40">
        <v>187</v>
      </c>
      <c r="B187" s="39" t="s">
        <v>143</v>
      </c>
      <c r="C187" s="37"/>
      <c r="D187" s="37"/>
      <c r="U187" s="1"/>
      <c r="V187" s="1"/>
      <c r="W187" s="5" t="s">
        <v>0</v>
      </c>
      <c r="X187" s="1"/>
      <c r="Y187" s="1"/>
      <c r="Z187" s="1"/>
      <c r="AA187" s="1"/>
      <c r="AB187" s="1"/>
      <c r="AC187" s="1"/>
      <c r="AD187" s="1"/>
      <c r="AE187" s="1"/>
      <c r="AF187" s="1"/>
    </row>
    <row r="188" spans="1:32" ht="16.5" thickBot="1" x14ac:dyDescent="0.3">
      <c r="A188" s="40">
        <v>188</v>
      </c>
      <c r="B188" s="39" t="s">
        <v>144</v>
      </c>
      <c r="C188" s="37"/>
      <c r="D188" s="37"/>
      <c r="U188" s="1"/>
      <c r="V188" s="1"/>
      <c r="W188" s="1"/>
      <c r="X188" s="1"/>
      <c r="Y188" s="19" t="s">
        <v>1</v>
      </c>
      <c r="Z188" s="1"/>
      <c r="AA188" s="1"/>
      <c r="AB188" s="1"/>
      <c r="AC188" s="1"/>
      <c r="AD188" s="1"/>
      <c r="AE188" s="1"/>
      <c r="AF188" s="1"/>
    </row>
    <row r="189" spans="1:32" ht="16.5" thickBot="1" x14ac:dyDescent="0.3">
      <c r="A189" s="40">
        <v>189</v>
      </c>
      <c r="B189" s="39" t="s">
        <v>83</v>
      </c>
      <c r="C189" s="37"/>
      <c r="D189" s="37"/>
      <c r="U189" s="1"/>
      <c r="V189" s="1"/>
      <c r="W189" s="5" t="s">
        <v>0</v>
      </c>
      <c r="X189" s="1"/>
      <c r="Y189" s="1"/>
      <c r="Z189" s="1"/>
      <c r="AA189" s="1"/>
      <c r="AB189" s="1"/>
      <c r="AC189" s="1"/>
      <c r="AD189" s="1"/>
      <c r="AE189" s="11" t="s">
        <v>0</v>
      </c>
      <c r="AF189" s="1"/>
    </row>
    <row r="190" spans="1:32" ht="16.5" thickBot="1" x14ac:dyDescent="0.3">
      <c r="A190" s="40">
        <v>190</v>
      </c>
      <c r="B190" s="39" t="s">
        <v>84</v>
      </c>
      <c r="C190" s="37"/>
      <c r="D190" s="37"/>
      <c r="U190" s="1"/>
      <c r="V190" s="1"/>
      <c r="W190" s="1"/>
      <c r="X190" s="1"/>
      <c r="Y190" s="1"/>
      <c r="Z190" s="1"/>
      <c r="AA190" s="1"/>
      <c r="AB190" s="1"/>
      <c r="AC190" s="9" t="s">
        <v>0</v>
      </c>
      <c r="AD190" s="1"/>
      <c r="AE190" s="1"/>
      <c r="AF190" s="1"/>
    </row>
    <row r="191" spans="1:32" ht="16.5" thickBot="1" x14ac:dyDescent="0.3">
      <c r="A191" s="40">
        <v>191</v>
      </c>
      <c r="B191" s="39" t="s">
        <v>145</v>
      </c>
      <c r="C191" s="37"/>
      <c r="D191" s="37"/>
      <c r="U191" s="1"/>
      <c r="V191" s="1"/>
      <c r="W191" s="1"/>
      <c r="X191" s="6" t="s">
        <v>0</v>
      </c>
      <c r="Y191" s="1"/>
      <c r="Z191" s="1"/>
      <c r="AA191" s="1"/>
      <c r="AB191" s="1"/>
      <c r="AC191" s="1"/>
      <c r="AD191" s="1"/>
      <c r="AE191" s="1"/>
      <c r="AF191" s="1"/>
    </row>
    <row r="192" spans="1:32" ht="16.5" thickBot="1" x14ac:dyDescent="0.3">
      <c r="A192" s="40">
        <v>192</v>
      </c>
      <c r="B192" s="39" t="s">
        <v>85</v>
      </c>
      <c r="C192" s="37"/>
      <c r="D192" s="37"/>
      <c r="U192" s="1"/>
      <c r="V192" s="4" t="s">
        <v>0</v>
      </c>
      <c r="W192" s="1"/>
      <c r="X192" s="1"/>
      <c r="Y192" s="1"/>
      <c r="Z192" s="1"/>
      <c r="AA192" s="1"/>
      <c r="AB192" s="1"/>
      <c r="AC192" s="1"/>
      <c r="AD192" s="1"/>
      <c r="AE192" s="1"/>
      <c r="AF192" s="1"/>
    </row>
    <row r="193" spans="1:32" ht="16.5" thickBot="1" x14ac:dyDescent="0.3">
      <c r="A193" s="40">
        <v>193</v>
      </c>
      <c r="B193" s="39" t="s">
        <v>221</v>
      </c>
      <c r="C193" s="37"/>
      <c r="D193" s="37"/>
      <c r="U193" s="1"/>
      <c r="V193" s="1"/>
      <c r="W193" s="5" t="s">
        <v>0</v>
      </c>
      <c r="X193" s="1"/>
      <c r="Y193" s="1"/>
      <c r="Z193" s="1"/>
      <c r="AA193" s="1"/>
      <c r="AB193" s="1"/>
      <c r="AC193" s="1"/>
      <c r="AD193" s="1"/>
      <c r="AE193" s="1"/>
      <c r="AF193" s="1"/>
    </row>
    <row r="194" spans="1:32" ht="16.5" thickBot="1" x14ac:dyDescent="0.3">
      <c r="A194" s="40">
        <v>194</v>
      </c>
      <c r="B194" s="39" t="s">
        <v>86</v>
      </c>
      <c r="C194" s="37"/>
      <c r="D194" s="37"/>
      <c r="U194" s="1"/>
      <c r="V194" s="1"/>
      <c r="W194" s="1"/>
      <c r="X194" s="6" t="s">
        <v>0</v>
      </c>
      <c r="Y194" s="1"/>
      <c r="Z194" s="1"/>
      <c r="AA194" s="1"/>
      <c r="AB194" s="1"/>
      <c r="AC194" s="1"/>
      <c r="AD194" s="1"/>
      <c r="AE194" s="11" t="s">
        <v>0</v>
      </c>
      <c r="AF194" s="1"/>
    </row>
    <row r="195" spans="1:32" ht="16.5" thickBot="1" x14ac:dyDescent="0.3">
      <c r="A195" s="40">
        <v>195</v>
      </c>
      <c r="B195" s="39" t="s">
        <v>222</v>
      </c>
      <c r="C195" s="37"/>
      <c r="D195" s="37"/>
      <c r="U195" s="1"/>
      <c r="V195" s="1"/>
      <c r="W195" s="1"/>
      <c r="X195" s="1"/>
      <c r="Y195" s="1"/>
      <c r="Z195" s="1"/>
      <c r="AA195" s="1"/>
      <c r="AB195" s="1"/>
      <c r="AC195" s="9" t="s">
        <v>0</v>
      </c>
      <c r="AD195" s="1"/>
      <c r="AE195" s="1"/>
      <c r="AF195" s="1"/>
    </row>
    <row r="196" spans="1:32" ht="16.5" thickBot="1" x14ac:dyDescent="0.3">
      <c r="A196" s="40">
        <v>196</v>
      </c>
      <c r="B196" s="39" t="s">
        <v>87</v>
      </c>
      <c r="C196" s="37"/>
      <c r="D196" s="37"/>
      <c r="U196" s="2" t="s">
        <v>0</v>
      </c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25" t="s">
        <v>1</v>
      </c>
    </row>
    <row r="197" spans="1:32" ht="16.5" thickBot="1" x14ac:dyDescent="0.3">
      <c r="A197" s="40">
        <v>197</v>
      </c>
      <c r="B197" s="39" t="s">
        <v>223</v>
      </c>
      <c r="C197" s="37"/>
      <c r="D197" s="37"/>
      <c r="U197" s="2" t="s">
        <v>0</v>
      </c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25" t="s">
        <v>1</v>
      </c>
    </row>
    <row r="198" spans="1:32" ht="16.5" thickBot="1" x14ac:dyDescent="0.3">
      <c r="A198" s="40">
        <v>198</v>
      </c>
      <c r="B198" s="39" t="s">
        <v>88</v>
      </c>
      <c r="C198" s="37"/>
      <c r="D198" s="37"/>
      <c r="U198" s="1"/>
      <c r="V198" s="1"/>
      <c r="W198" s="1"/>
      <c r="X198" s="1"/>
      <c r="Y198" s="1"/>
      <c r="Z198" s="13" t="s">
        <v>0</v>
      </c>
      <c r="AA198" s="1"/>
      <c r="AB198" s="1"/>
      <c r="AC198" s="1"/>
      <c r="AD198" s="1"/>
      <c r="AE198" s="1"/>
      <c r="AF198" s="12" t="s">
        <v>0</v>
      </c>
    </row>
    <row r="199" spans="1:32" ht="16.5" thickBot="1" x14ac:dyDescent="0.3">
      <c r="A199" s="40">
        <v>199</v>
      </c>
      <c r="B199" s="39" t="s">
        <v>89</v>
      </c>
      <c r="C199" s="37"/>
      <c r="D199" s="37"/>
      <c r="U199" s="1"/>
      <c r="V199" s="1"/>
      <c r="W199" s="1"/>
      <c r="X199" s="1"/>
      <c r="Y199" s="7" t="s">
        <v>0</v>
      </c>
      <c r="Z199" s="1"/>
      <c r="AA199" s="1"/>
      <c r="AB199" s="1"/>
      <c r="AC199" s="1"/>
      <c r="AD199" s="10" t="s">
        <v>0</v>
      </c>
      <c r="AE199" s="1"/>
      <c r="AF199" s="1"/>
    </row>
    <row r="200" spans="1:32" ht="16.5" thickBot="1" x14ac:dyDescent="0.3">
      <c r="A200" s="40">
        <v>200</v>
      </c>
      <c r="B200" s="39" t="s">
        <v>90</v>
      </c>
      <c r="C200" s="37"/>
      <c r="D200" s="37"/>
      <c r="U200" s="1"/>
      <c r="V200" s="1"/>
      <c r="W200" s="1"/>
      <c r="X200" s="6" t="s">
        <v>0</v>
      </c>
      <c r="Y200" s="1"/>
      <c r="Z200" s="1"/>
      <c r="AA200" s="1"/>
      <c r="AB200" s="1"/>
      <c r="AC200" s="1"/>
      <c r="AD200" s="1"/>
      <c r="AE200" s="11" t="s">
        <v>0</v>
      </c>
      <c r="AF200" s="1"/>
    </row>
    <row r="201" spans="1:32" ht="16.5" thickBot="1" x14ac:dyDescent="0.3">
      <c r="A201" s="40">
        <v>201</v>
      </c>
      <c r="B201" s="39" t="s">
        <v>224</v>
      </c>
      <c r="C201" s="37"/>
      <c r="D201" s="37"/>
      <c r="U201" s="1"/>
      <c r="V201" s="1"/>
      <c r="W201" s="1"/>
      <c r="X201" s="1"/>
      <c r="Y201" s="1"/>
      <c r="Z201" s="13" t="s">
        <v>0</v>
      </c>
      <c r="AA201" s="1"/>
      <c r="AB201" s="1"/>
      <c r="AC201" s="1"/>
      <c r="AD201" s="1"/>
      <c r="AE201" s="1"/>
      <c r="AF201" s="1"/>
    </row>
    <row r="202" spans="1:32" ht="16.5" thickBot="1" x14ac:dyDescent="0.3">
      <c r="A202" s="40">
        <v>202</v>
      </c>
      <c r="B202" s="39" t="s">
        <v>146</v>
      </c>
      <c r="C202" s="37"/>
      <c r="D202" s="37"/>
      <c r="U202" s="1"/>
      <c r="V202" s="1"/>
      <c r="W202" s="1"/>
      <c r="X202" s="1"/>
      <c r="Y202" s="1"/>
      <c r="Z202" s="1"/>
      <c r="AA202" s="1"/>
      <c r="AB202" s="8" t="s">
        <v>0</v>
      </c>
      <c r="AC202" s="1"/>
      <c r="AD202" s="1"/>
      <c r="AE202" s="1"/>
      <c r="AF202" s="1"/>
    </row>
    <row r="203" spans="1:32" ht="16.5" thickBot="1" x14ac:dyDescent="0.3">
      <c r="A203" s="40">
        <v>203</v>
      </c>
      <c r="B203" s="39" t="s">
        <v>91</v>
      </c>
      <c r="C203" s="37"/>
      <c r="D203" s="37"/>
      <c r="U203" s="1"/>
      <c r="V203" s="1"/>
      <c r="W203" s="1"/>
      <c r="X203" s="6" t="s">
        <v>0</v>
      </c>
      <c r="Y203" s="1"/>
      <c r="Z203" s="1"/>
      <c r="AA203" s="1"/>
      <c r="AB203" s="1"/>
      <c r="AC203" s="1"/>
      <c r="AD203" s="1"/>
      <c r="AE203" s="1"/>
      <c r="AF203" s="1"/>
    </row>
    <row r="204" spans="1:32" ht="16.5" thickBot="1" x14ac:dyDescent="0.3">
      <c r="A204" s="40">
        <v>204</v>
      </c>
      <c r="B204" s="39" t="s">
        <v>92</v>
      </c>
      <c r="C204" s="37"/>
      <c r="D204" s="37"/>
      <c r="U204" s="1"/>
      <c r="V204" s="1"/>
      <c r="W204" s="1"/>
      <c r="X204" s="1"/>
      <c r="Y204" s="1"/>
      <c r="Z204" s="13" t="s">
        <v>0</v>
      </c>
      <c r="AA204" s="1"/>
      <c r="AB204" s="1"/>
      <c r="AC204" s="1"/>
      <c r="AD204" s="1"/>
      <c r="AE204" s="1"/>
      <c r="AF204" s="1"/>
    </row>
    <row r="205" spans="1:32" ht="16.5" thickBot="1" x14ac:dyDescent="0.3">
      <c r="A205" s="40">
        <v>205</v>
      </c>
      <c r="B205" s="39" t="s">
        <v>93</v>
      </c>
      <c r="C205" s="37"/>
      <c r="D205" s="37"/>
      <c r="U205" s="1"/>
      <c r="V205" s="1"/>
      <c r="W205" s="5" t="s">
        <v>0</v>
      </c>
      <c r="X205" s="1"/>
      <c r="Y205" s="1"/>
      <c r="Z205" s="1"/>
      <c r="AA205" s="1"/>
      <c r="AB205" s="1"/>
      <c r="AC205" s="1"/>
      <c r="AD205" s="1"/>
      <c r="AE205" s="1"/>
      <c r="AF205" s="1"/>
    </row>
    <row r="206" spans="1:32" ht="16.5" thickBot="1" x14ac:dyDescent="0.3">
      <c r="A206" s="40">
        <v>206</v>
      </c>
      <c r="B206" s="39" t="s">
        <v>225</v>
      </c>
      <c r="C206" s="37"/>
      <c r="D206" s="37"/>
      <c r="U206" s="1"/>
      <c r="V206" s="1"/>
      <c r="W206" s="5" t="s">
        <v>0</v>
      </c>
      <c r="X206" s="1"/>
      <c r="Y206" s="1"/>
      <c r="Z206" s="1"/>
      <c r="AA206" s="1"/>
      <c r="AB206" s="1"/>
      <c r="AC206" s="1"/>
      <c r="AD206" s="1"/>
      <c r="AE206" s="1"/>
      <c r="AF206" s="1"/>
    </row>
    <row r="207" spans="1:32" ht="16.5" thickBot="1" x14ac:dyDescent="0.3">
      <c r="A207" s="40">
        <v>207</v>
      </c>
      <c r="B207" s="39" t="s">
        <v>226</v>
      </c>
      <c r="C207" s="37"/>
      <c r="D207" s="37"/>
      <c r="U207" s="1"/>
      <c r="V207" s="1"/>
      <c r="W207" s="1"/>
      <c r="X207" s="1"/>
      <c r="Y207" s="1"/>
      <c r="Z207" s="13" t="s">
        <v>0</v>
      </c>
      <c r="AA207" s="1"/>
      <c r="AB207" s="1"/>
      <c r="AC207" s="1"/>
      <c r="AD207" s="1"/>
      <c r="AE207" s="1"/>
      <c r="AF207" s="12" t="s">
        <v>0</v>
      </c>
    </row>
    <row r="208" spans="1:32" ht="16.5" thickBot="1" x14ac:dyDescent="0.3">
      <c r="A208" s="40">
        <v>208</v>
      </c>
      <c r="B208" s="39" t="s">
        <v>147</v>
      </c>
      <c r="C208" s="37"/>
      <c r="D208" s="37"/>
      <c r="U208" s="1"/>
      <c r="V208" s="4" t="s">
        <v>0</v>
      </c>
      <c r="W208" s="1"/>
      <c r="X208" s="1"/>
      <c r="Y208" s="1"/>
      <c r="Z208" s="1"/>
      <c r="AA208" s="1"/>
      <c r="AB208" s="1"/>
      <c r="AC208" s="1"/>
      <c r="AD208" s="1"/>
      <c r="AE208" s="1"/>
      <c r="AF208" s="1"/>
    </row>
    <row r="209" spans="1:32" ht="16.5" thickBot="1" x14ac:dyDescent="0.3">
      <c r="A209" s="40">
        <v>209</v>
      </c>
      <c r="B209" s="39" t="s">
        <v>227</v>
      </c>
      <c r="C209" s="37"/>
      <c r="D209" s="37"/>
      <c r="U209" s="1"/>
      <c r="V209" s="1"/>
      <c r="W209" s="1"/>
      <c r="X209" s="1"/>
      <c r="Y209" s="1"/>
      <c r="Z209" s="13" t="s">
        <v>0</v>
      </c>
      <c r="AA209" s="1"/>
      <c r="AB209" s="1"/>
      <c r="AC209" s="1"/>
      <c r="AD209" s="1"/>
      <c r="AE209" s="1"/>
      <c r="AF209" s="1"/>
    </row>
    <row r="210" spans="1:32" ht="16.5" thickBot="1" x14ac:dyDescent="0.3">
      <c r="A210" s="40">
        <v>210</v>
      </c>
      <c r="B210" s="39" t="s">
        <v>148</v>
      </c>
      <c r="C210" s="37"/>
      <c r="D210" s="37"/>
      <c r="U210" s="1"/>
      <c r="V210" s="1"/>
      <c r="W210" s="1"/>
      <c r="X210" s="6" t="s">
        <v>0</v>
      </c>
      <c r="Y210" s="1"/>
      <c r="Z210" s="1"/>
      <c r="AA210" s="1"/>
      <c r="AB210" s="1"/>
      <c r="AC210" s="1"/>
      <c r="AD210" s="1"/>
      <c r="AE210" s="1"/>
      <c r="AF210" s="1"/>
    </row>
    <row r="211" spans="1:32" ht="16.5" thickBot="1" x14ac:dyDescent="0.3">
      <c r="A211" s="40">
        <v>211</v>
      </c>
      <c r="B211" s="39" t="s">
        <v>94</v>
      </c>
      <c r="C211" s="37"/>
      <c r="D211" s="37"/>
      <c r="U211" s="1"/>
      <c r="V211" s="1"/>
      <c r="W211" s="1"/>
      <c r="X211" s="1"/>
      <c r="Y211" s="19" t="s">
        <v>1</v>
      </c>
      <c r="Z211" s="1"/>
      <c r="AA211" s="1"/>
      <c r="AB211" s="1"/>
      <c r="AC211" s="1"/>
      <c r="AD211" s="1"/>
      <c r="AE211" s="1"/>
      <c r="AF211" s="1"/>
    </row>
    <row r="212" spans="1:32" ht="16.5" thickBot="1" x14ac:dyDescent="0.3">
      <c r="A212" s="40">
        <v>212</v>
      </c>
      <c r="B212" s="39" t="s">
        <v>228</v>
      </c>
      <c r="C212" s="37"/>
      <c r="D212" s="37"/>
      <c r="U212" s="1"/>
      <c r="V212" s="4" t="s">
        <v>0</v>
      </c>
      <c r="W212" s="1"/>
      <c r="X212" s="1"/>
      <c r="Y212" s="1"/>
      <c r="Z212" s="1"/>
      <c r="AA212" s="1"/>
      <c r="AB212" s="1"/>
      <c r="AC212" s="1"/>
      <c r="AD212" s="1"/>
      <c r="AE212" s="1"/>
      <c r="AF212" s="1"/>
    </row>
  </sheetData>
  <sheetProtection formatCells="0" formatColumns="0" formatRows="0" insertColumns="0" insertRows="0" insertHyperlinks="0" deleteColumns="0" deleteRows="0" sort="0" autoFilter="0" pivotTables="0"/>
  <autoFilter ref="U1:AF212" xr:uid="{00000000-0009-0000-0000-000002000000}"/>
  <customSheetViews>
    <customSheetView guid="{A0DA7257-ACEA-4803-81EB-063D2E081997}" scale="85" showAutoFilter="1" state="hidden">
      <selection activeCell="AK12" sqref="AK12"/>
      <pageMargins left="0.7" right="0.7" top="0.75" bottom="0.75" header="0.3" footer="0.3"/>
      <pageSetup orientation="portrait" horizontalDpi="4294967293" verticalDpi="0" r:id="rId1"/>
      <autoFilter ref="U1:AF212" xr:uid="{39B8B24F-C362-46FA-B0D9-C6BF2EA201C7}"/>
    </customSheetView>
  </customSheetViews>
  <pageMargins left="0.7" right="0.7" top="0.75" bottom="0.75" header="0.3" footer="0.3"/>
  <pageSetup orientation="portrait" horizontalDpi="4294967293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M199"/>
  <sheetViews>
    <sheetView workbookViewId="0">
      <selection activeCell="B4" sqref="B4:D4"/>
    </sheetView>
  </sheetViews>
  <sheetFormatPr defaultRowHeight="15" x14ac:dyDescent="0.25"/>
  <cols>
    <col min="1" max="1" width="9.140625" style="40"/>
    <col min="2" max="2" width="10.28515625" style="40" customWidth="1"/>
    <col min="3" max="16384" width="9.140625" style="40"/>
  </cols>
  <sheetData>
    <row r="1" spans="1:13" x14ac:dyDescent="0.25">
      <c r="B1" s="154" t="s">
        <v>233</v>
      </c>
      <c r="C1" s="154" t="s">
        <v>230</v>
      </c>
      <c r="D1" s="154" t="s">
        <v>234</v>
      </c>
    </row>
    <row r="2" spans="1:13" x14ac:dyDescent="0.25">
      <c r="A2" s="141" t="s">
        <v>2</v>
      </c>
      <c r="B2" s="153" t="s">
        <v>232</v>
      </c>
      <c r="C2" s="153" t="s">
        <v>235</v>
      </c>
      <c r="D2" s="153" t="s">
        <v>266</v>
      </c>
    </row>
    <row r="3" spans="1:13" x14ac:dyDescent="0.25">
      <c r="A3" s="142" t="s">
        <v>3</v>
      </c>
      <c r="B3" s="153" t="s">
        <v>236</v>
      </c>
      <c r="C3" s="153" t="s">
        <v>235</v>
      </c>
      <c r="D3" s="153" t="s">
        <v>267</v>
      </c>
    </row>
    <row r="4" spans="1:13" x14ac:dyDescent="0.25">
      <c r="A4" s="143" t="s">
        <v>4</v>
      </c>
      <c r="B4" s="153" t="s">
        <v>237</v>
      </c>
      <c r="C4" s="153" t="s">
        <v>235</v>
      </c>
      <c r="D4" s="153" t="s">
        <v>268</v>
      </c>
    </row>
    <row r="5" spans="1:13" x14ac:dyDescent="0.25">
      <c r="A5" s="144" t="s">
        <v>6</v>
      </c>
      <c r="B5" s="153" t="s">
        <v>238</v>
      </c>
      <c r="C5" s="153" t="s">
        <v>235</v>
      </c>
      <c r="D5" s="153" t="s">
        <v>269</v>
      </c>
    </row>
    <row r="6" spans="1:13" x14ac:dyDescent="0.25">
      <c r="A6" s="145" t="s">
        <v>5</v>
      </c>
      <c r="B6" s="153" t="s">
        <v>239</v>
      </c>
      <c r="C6" s="153" t="s">
        <v>235</v>
      </c>
      <c r="D6" s="153" t="s">
        <v>240</v>
      </c>
    </row>
    <row r="7" spans="1:13" x14ac:dyDescent="0.25">
      <c r="A7" s="146" t="s">
        <v>7</v>
      </c>
      <c r="B7" s="153" t="s">
        <v>241</v>
      </c>
      <c r="C7" s="153" t="s">
        <v>235</v>
      </c>
      <c r="D7" s="153" t="s">
        <v>242</v>
      </c>
    </row>
    <row r="8" spans="1:13" x14ac:dyDescent="0.25">
      <c r="A8" s="147" t="s">
        <v>8</v>
      </c>
      <c r="B8" s="153" t="s">
        <v>243</v>
      </c>
      <c r="C8" s="153" t="s">
        <v>235</v>
      </c>
      <c r="D8" s="153" t="s">
        <v>244</v>
      </c>
    </row>
    <row r="9" spans="1:13" x14ac:dyDescent="0.25">
      <c r="A9" s="148" t="s">
        <v>9</v>
      </c>
      <c r="B9" s="153" t="s">
        <v>245</v>
      </c>
      <c r="C9" s="153" t="s">
        <v>235</v>
      </c>
      <c r="D9" s="153" t="s">
        <v>246</v>
      </c>
    </row>
    <row r="10" spans="1:13" x14ac:dyDescent="0.25">
      <c r="A10" s="149" t="s">
        <v>10</v>
      </c>
      <c r="B10" s="153" t="s">
        <v>247</v>
      </c>
      <c r="C10" s="153" t="s">
        <v>235</v>
      </c>
      <c r="D10" s="153" t="s">
        <v>248</v>
      </c>
    </row>
    <row r="11" spans="1:13" x14ac:dyDescent="0.25">
      <c r="A11" s="150" t="s">
        <v>11</v>
      </c>
      <c r="B11" s="153" t="s">
        <v>249</v>
      </c>
      <c r="C11" s="153" t="s">
        <v>235</v>
      </c>
      <c r="D11" s="153" t="s">
        <v>250</v>
      </c>
    </row>
    <row r="12" spans="1:13" x14ac:dyDescent="0.25">
      <c r="A12" s="151" t="s">
        <v>12</v>
      </c>
      <c r="B12" s="153" t="s">
        <v>251</v>
      </c>
      <c r="C12" s="153" t="s">
        <v>235</v>
      </c>
      <c r="D12" s="153" t="s">
        <v>252</v>
      </c>
    </row>
    <row r="13" spans="1:13" x14ac:dyDescent="0.25">
      <c r="A13" s="152" t="s">
        <v>13</v>
      </c>
      <c r="B13" s="153" t="s">
        <v>253</v>
      </c>
      <c r="C13" s="153" t="s">
        <v>235</v>
      </c>
      <c r="D13" s="153" t="s">
        <v>254</v>
      </c>
    </row>
    <row r="14" spans="1:13" ht="15.75" x14ac:dyDescent="0.25">
      <c r="A14" s="38"/>
    </row>
    <row r="15" spans="1:13" ht="16.5" thickBot="1" x14ac:dyDescent="0.3">
      <c r="A15" s="38"/>
    </row>
    <row r="16" spans="1:13" ht="15.75" thickBot="1" x14ac:dyDescent="0.3">
      <c r="A16"/>
      <c r="B16" s="2" t="s">
        <v>2</v>
      </c>
      <c r="C16" s="58" t="s">
        <v>3</v>
      </c>
      <c r="D16" s="5" t="s">
        <v>4</v>
      </c>
      <c r="E16" s="6" t="s">
        <v>6</v>
      </c>
      <c r="F16" s="7" t="s">
        <v>5</v>
      </c>
      <c r="G16" s="13" t="s">
        <v>7</v>
      </c>
      <c r="H16" s="20" t="s">
        <v>8</v>
      </c>
      <c r="I16" s="8" t="s">
        <v>9</v>
      </c>
      <c r="J16" s="9" t="s">
        <v>10</v>
      </c>
      <c r="K16" s="10" t="s">
        <v>11</v>
      </c>
      <c r="L16" s="11" t="s">
        <v>12</v>
      </c>
      <c r="M16" s="12" t="s">
        <v>13</v>
      </c>
    </row>
    <row r="17" spans="1:13" ht="15.75" thickBot="1" x14ac:dyDescent="0.3">
      <c r="A17" s="135" t="s">
        <v>229</v>
      </c>
      <c r="B17" s="134" t="str">
        <f>IF(OR(Rezultat!H2=TRUE,Rezultat!H3=TRUE,Rezultat!H4=TRUE), Text!B2,"")</f>
        <v/>
      </c>
      <c r="C17" s="47" t="str">
        <f>IF(OR(Rezultat!I2=TRUE,Rezultat!I3=TRUE,Rezultat!I4=TRUE), Text!B3,"")</f>
        <v/>
      </c>
      <c r="D17" s="47" t="str">
        <f>IF(OR(Rezultat!J2=TRUE,Rezultat!J3=TRUE,Rezultat!J4=TRUE), Text!B4,"")</f>
        <v/>
      </c>
      <c r="E17" s="47" t="str">
        <f>IF(OR(Rezultat!K2=TRUE,Rezultat!K3=TRUE,Rezultat!K4=TRUE), Text!B5,"")</f>
        <v/>
      </c>
      <c r="F17" s="47" t="str">
        <f>IF(OR(Rezultat!L2=TRUE,Rezultat!L3=TRUE,Rezultat!L4=TRUE), Text!B6,"")</f>
        <v/>
      </c>
      <c r="G17" s="47" t="str">
        <f>IF(OR(Rezultat!M2=TRUE,Rezultat!M3=TRUE,Rezultat!M4=TRUE), Text!B7,"")</f>
        <v>încredere în sine; nu se abate din drumul său; nu poate fi enervate uşor; răbdător în anumite condiţii; dârz,neliniştit; bună dispoziţie; optimist; nu-i plac disputele agresive; energic; acţionează repede şi eficient;</v>
      </c>
      <c r="H17" s="47" t="str">
        <f>IF(OR(Rezultat!N2=TRUE,Rezultat!N3=TRUE,Rezultat!N4=TRUE), Text!B8,"")</f>
        <v/>
      </c>
      <c r="I17" s="47" t="str">
        <f>IF(OR(Rezultat!O2=TRUE,Rezultat!O3=TRUE,Rezultat!O4=TRUE), Text!B9,"")</f>
        <v>timiditate, stingher; inhibat în relaţiile cu alte personae; incapabil de contact sau cu un comportament anormal în situaţii de contact; trac; neplăceri fizice înaintea anumitor ocazii sau la emoţii; putere de acţiune redusă; nesiguri în luarea hotărârilor; nu luptă pentru realizarea celor propuse; iritat când se ştie observat;</v>
      </c>
      <c r="J17" s="47" t="str">
        <f>IF(OR(Rezultat!P2=TRUE,Rezultat!P3=TRUE,Rezultat!P4=TRUE), Text!B10,"")</f>
        <v>recunoaşte mici slăbiciuni şi defecte; autocritic; în anumite situaţii are  atitudine dezinvoltă;</v>
      </c>
      <c r="K17" s="47" t="str">
        <f>IF(OR(Rezultat!Q2=TRUE,Rezultat!Q3=TRUE,Rezultat!Q4=TRUE), Text!B11,"")</f>
        <v>sociabilitate; vioiciune; întreprinzător; domină; dă tonul; capabil să se impună;</v>
      </c>
      <c r="L17" s="47" t="str">
        <f>IF(OR(Rezultat!R2=TRUE,Rezultat!R3=TRUE,Rezultat!R4=TRUE), Text!B12,"")</f>
        <v/>
      </c>
      <c r="M17" s="47" t="str">
        <f>IF(OR(Rezultat!S2=TRUE,Rezultat!S3=TRUE,Rezultat!S4=TRUE),Text!B13,"")</f>
        <v>se impune activ; conştient de sine; întreprinzător; optimist; gata de a intra în acţiune; dispoziţie echilibrată;</v>
      </c>
    </row>
    <row r="18" spans="1:13" ht="15.75" thickBot="1" x14ac:dyDescent="0.3">
      <c r="A18" s="135" t="s">
        <v>230</v>
      </c>
      <c r="B18" s="134" t="str">
        <f>IF(OR(Rezultat!H5=TRUE,Rezultat!H6=TRUE,Rezultat!H7=TRUE), Text!C2,"")</f>
        <v/>
      </c>
      <c r="C18" s="47" t="str">
        <f>IF(OR(Rezultat!I5=TRUE,Rezultat!I6=TRUE,Rezultat!I7=TRUE), Text!C3,"")</f>
        <v/>
      </c>
      <c r="D18" s="47" t="str">
        <f>IF(OR(Rezultat!J5=TRUE,Rezultat!J6=TRUE,Rezultat!J7=TRUE), Text!C4,"")</f>
        <v/>
      </c>
      <c r="E18" s="47" t="str">
        <f>IF(OR(Rezultat!K5=TRUE,Rezultat!K6=TRUE,Rezultat!K7=TRUE), Text!C5,"")</f>
        <v/>
      </c>
      <c r="F18" s="47" t="str">
        <f>IF(OR(Rezultat!L5=TRUE,Rezultat!L6=TRUE,Rezultat!L7=TRUE), Text!C6,"")</f>
        <v>null</v>
      </c>
      <c r="G18" s="47" t="str">
        <f>IF(OR(Rezultat!M5=TRUE,Rezultat!M6=TRUE,Rezultat!M7=TRUE), Text!C7,"")</f>
        <v/>
      </c>
      <c r="H18" s="47" t="str">
        <f>IF(OR(Rezultat!N5=TRUE,Rezultat!N6=TRUE,Rezultat!N7=TRUE), Text!C8,"")</f>
        <v/>
      </c>
      <c r="I18" s="47" t="str">
        <f>IF(OR(Rezultat!O5=TRUE,Rezultat!O6=TRUE,Rezultat!O7=TRUE), Text!C9,"")</f>
        <v/>
      </c>
      <c r="J18" s="47" t="str">
        <f>IF(OR(Rezultat!P5=TRUE,Rezultat!P6=TRUE,Rezultat!P7=TRUE), Text!C10,"")</f>
        <v/>
      </c>
      <c r="K18" s="47" t="str">
        <f>IF(OR(Rezultat!Q5=TRUE,Rezultat!Q6=TRUE,Rezultat!Q7=TRUE), Text!C11,"")</f>
        <v/>
      </c>
      <c r="L18" s="47" t="str">
        <f>IF(OR(Rezultat!R5=TRUE,Rezultat!R6=TRUE,Rezultat!R7=TRUE), Text!C12,"")</f>
        <v/>
      </c>
      <c r="M18" s="47" t="str">
        <f>IF(OR(Rezultat!S5=TRUE,Rezultat!S6=TRUE,Rezultat!S7=TRUE), Text!C13,"")</f>
        <v/>
      </c>
    </row>
    <row r="19" spans="1:13" ht="15.75" thickBot="1" x14ac:dyDescent="0.3">
      <c r="A19" s="135" t="s">
        <v>231</v>
      </c>
      <c r="B19" s="134" t="str">
        <f>IF(OR(Rezultat!H8=TRUE,Rezultat!H9=TRUE,Rezultat!H10=TRUE), Text!D2,"")</f>
        <v>tulburări psihosomatice minore, rezonanță activă scăzută cu consecințe somatice normale asumate</v>
      </c>
      <c r="C19" s="47" t="str">
        <f>IF(OR(Rezultat!I8=TRUE,Rezultat!I9=TRUE,Rezultat!I10=TRUE), Text!D3,"")</f>
        <v>tendințe reduse de agresiune spontane, stăpânire de sine, comportare stabilă, controlată conștient, cu trăsături de om liniștit, ponderat, echilibrat în relații</v>
      </c>
      <c r="D19" s="47" t="str">
        <f>IF(OR(Rezultat!J8=TRUE,Rezultat!J9=TRUE,Rezultat!J10=TRUE), Text!D4,"")</f>
        <v>dispoziție echilibrată, relaxare, optimism, raport emoțional bun, capacitate de concentrare și siguranță și mulțumire de sine.</v>
      </c>
      <c r="E19" s="47" t="str">
        <f>IF(OR(Rezultat!K8=TRUE,Rezultat!K9=TRUE,Rezultat!K10=TRUE), Text!D5,"")</f>
        <v>impulsivitate redusă, calm, stăpânire emoțională și toleranță ridicată la frustrare</v>
      </c>
      <c r="F19" s="47" t="str">
        <f>IF(OR(Rezultat!L8=TRUE,Rezultat!L9=TRUE,Rezultat!L10=TRUE), Text!D6,"")</f>
        <v/>
      </c>
      <c r="G19" s="47" t="str">
        <f>IF(OR(Rezultat!M8=TRUE,Rezultat!M9=TRUE,Rezultat!M10=TRUE), Text!D7,"")</f>
        <v/>
      </c>
      <c r="H19" s="47" t="str">
        <f>IF(OR(Rezultat!N8=TRUE,Rezultat!N9=TRUE,Rezultat!N10=TRUE), Text!D8,"")</f>
        <v>tact; atitudine ponderată; înţelegător; maleabil; atitudine tolerantă; încrezător; judecăţi morale diferenţiate;</v>
      </c>
      <c r="I19" s="47" t="str">
        <f>IF(OR(Rezultat!O8=TRUE,Rezultat!O9=TRUE,Rezultat!O10=TRUE), Text!D9,"")</f>
        <v/>
      </c>
      <c r="J19" s="47" t="str">
        <f>IF(OR(Rezultat!P8=TRUE,Rezultat!P9=TRUE,Rezultat!P10=TRUE), Text!D10,"")</f>
        <v/>
      </c>
      <c r="K19" s="47" t="str">
        <f>IF(OR(Rezultat!Q8=TRUE,Rezultat!Q9=TRUE,Rezultat!Q10=TRUE), Text!D11,"")</f>
        <v/>
      </c>
      <c r="L19" s="47" t="str">
        <f>IF(OR(Rezultat!R8=TRUE,Rezultat!R9=TRUE,Rezultat!R10=TRUE), Text!D12,"")</f>
        <v>dispoziţie stabilă şi echilibrată;pozitiv; degajat;bine dispus; răbdător; calm; liniştit; siguranţă de sine;puţine griji; capacitate de concentrare; raport emoţional netulburat.</v>
      </c>
      <c r="M19" s="47" t="str">
        <f>IF(OR(Rezultat!S8=TRUE,Rezultat!S9=TRUE,Rezultat!S10=TRUE), Text!D13,"")</f>
        <v/>
      </c>
    </row>
    <row r="20" spans="1:13" ht="15.75" x14ac:dyDescent="0.25">
      <c r="A20" s="136"/>
    </row>
    <row r="21" spans="1:13" ht="15.75" x14ac:dyDescent="0.25">
      <c r="A21" s="136"/>
    </row>
    <row r="22" spans="1:13" ht="15.75" x14ac:dyDescent="0.25">
      <c r="A22" s="136"/>
    </row>
    <row r="23" spans="1:13" ht="15.75" x14ac:dyDescent="0.25">
      <c r="A23" s="136"/>
    </row>
    <row r="24" spans="1:13" ht="15.75" x14ac:dyDescent="0.25">
      <c r="A24" s="136"/>
    </row>
    <row r="25" spans="1:13" ht="15.75" x14ac:dyDescent="0.25">
      <c r="A25" s="136"/>
    </row>
    <row r="26" spans="1:13" ht="15.75" x14ac:dyDescent="0.25">
      <c r="A26" s="136"/>
    </row>
    <row r="27" spans="1:13" ht="15.75" x14ac:dyDescent="0.25">
      <c r="A27" s="136"/>
    </row>
    <row r="28" spans="1:13" ht="15.75" x14ac:dyDescent="0.25">
      <c r="A28" s="136"/>
    </row>
    <row r="29" spans="1:13" ht="15.75" x14ac:dyDescent="0.25">
      <c r="A29" s="136"/>
    </row>
    <row r="30" spans="1:13" ht="15.75" x14ac:dyDescent="0.25">
      <c r="A30" s="136"/>
    </row>
    <row r="31" spans="1:13" ht="15.75" x14ac:dyDescent="0.25">
      <c r="A31" s="136"/>
    </row>
    <row r="32" spans="1:13" ht="15.75" x14ac:dyDescent="0.25">
      <c r="A32" s="136"/>
    </row>
    <row r="33" spans="1:1" ht="15.75" x14ac:dyDescent="0.25">
      <c r="A33" s="136"/>
    </row>
    <row r="34" spans="1:1" ht="15.75" x14ac:dyDescent="0.25">
      <c r="A34" s="139"/>
    </row>
    <row r="35" spans="1:1" ht="15.75" x14ac:dyDescent="0.25">
      <c r="A35" s="38"/>
    </row>
    <row r="36" spans="1:1" ht="15.75" x14ac:dyDescent="0.25">
      <c r="A36" s="137"/>
    </row>
    <row r="37" spans="1:1" ht="15.75" x14ac:dyDescent="0.25">
      <c r="A37" s="138"/>
    </row>
    <row r="38" spans="1:1" ht="15.75" x14ac:dyDescent="0.25">
      <c r="A38" s="136"/>
    </row>
    <row r="39" spans="1:1" ht="15.75" x14ac:dyDescent="0.25">
      <c r="A39" s="136"/>
    </row>
    <row r="40" spans="1:1" ht="15.75" x14ac:dyDescent="0.25">
      <c r="A40" s="136"/>
    </row>
    <row r="41" spans="1:1" ht="15.75" x14ac:dyDescent="0.25">
      <c r="A41" s="136"/>
    </row>
    <row r="42" spans="1:1" ht="15.75" x14ac:dyDescent="0.25">
      <c r="A42" s="136"/>
    </row>
    <row r="43" spans="1:1" ht="15.75" x14ac:dyDescent="0.25">
      <c r="A43" s="136"/>
    </row>
    <row r="44" spans="1:1" ht="15.75" x14ac:dyDescent="0.25">
      <c r="A44" s="136"/>
    </row>
    <row r="45" spans="1:1" ht="15.75" x14ac:dyDescent="0.25">
      <c r="A45" s="136"/>
    </row>
    <row r="46" spans="1:1" ht="15.75" x14ac:dyDescent="0.25">
      <c r="A46" s="136"/>
    </row>
    <row r="47" spans="1:1" ht="15.75" x14ac:dyDescent="0.25">
      <c r="A47" s="139"/>
    </row>
    <row r="48" spans="1:1" ht="15.75" x14ac:dyDescent="0.25">
      <c r="A48" s="38"/>
    </row>
    <row r="49" spans="1:1" ht="15.75" x14ac:dyDescent="0.25">
      <c r="A49" s="137"/>
    </row>
    <row r="50" spans="1:1" ht="15.75" x14ac:dyDescent="0.25">
      <c r="A50" s="138"/>
    </row>
    <row r="51" spans="1:1" ht="15.75" x14ac:dyDescent="0.25">
      <c r="A51" s="136"/>
    </row>
    <row r="52" spans="1:1" ht="15.75" x14ac:dyDescent="0.25">
      <c r="A52" s="136"/>
    </row>
    <row r="53" spans="1:1" ht="15.75" x14ac:dyDescent="0.25">
      <c r="A53" s="136"/>
    </row>
    <row r="54" spans="1:1" ht="15.75" x14ac:dyDescent="0.25">
      <c r="A54" s="136"/>
    </row>
    <row r="55" spans="1:1" ht="15.75" x14ac:dyDescent="0.25">
      <c r="A55" s="136"/>
    </row>
    <row r="56" spans="1:1" ht="15.75" x14ac:dyDescent="0.25">
      <c r="A56" s="136"/>
    </row>
    <row r="57" spans="1:1" ht="15.75" x14ac:dyDescent="0.25">
      <c r="A57" s="138"/>
    </row>
    <row r="58" spans="1:1" ht="15.75" x14ac:dyDescent="0.25">
      <c r="A58" s="136"/>
    </row>
    <row r="59" spans="1:1" ht="15.75" x14ac:dyDescent="0.25">
      <c r="A59" s="136"/>
    </row>
    <row r="60" spans="1:1" ht="15.75" x14ac:dyDescent="0.25">
      <c r="A60" s="136"/>
    </row>
    <row r="61" spans="1:1" ht="15.75" x14ac:dyDescent="0.25">
      <c r="A61" s="136"/>
    </row>
    <row r="62" spans="1:1" ht="15.75" x14ac:dyDescent="0.25">
      <c r="A62" s="136"/>
    </row>
    <row r="63" spans="1:1" ht="15.75" x14ac:dyDescent="0.25">
      <c r="A63" s="136"/>
    </row>
    <row r="64" spans="1:1" ht="15.75" x14ac:dyDescent="0.25">
      <c r="A64" s="136"/>
    </row>
    <row r="65" spans="1:1" ht="15.75" x14ac:dyDescent="0.25">
      <c r="A65" s="136"/>
    </row>
    <row r="66" spans="1:1" ht="15.75" x14ac:dyDescent="0.25">
      <c r="A66" s="136"/>
    </row>
    <row r="67" spans="1:1" ht="15.75" x14ac:dyDescent="0.25">
      <c r="A67" s="139"/>
    </row>
    <row r="68" spans="1:1" ht="15.75" x14ac:dyDescent="0.25">
      <c r="A68" s="38"/>
    </row>
    <row r="69" spans="1:1" ht="15.75" x14ac:dyDescent="0.25">
      <c r="A69" s="137"/>
    </row>
    <row r="70" spans="1:1" ht="15.75" x14ac:dyDescent="0.25">
      <c r="A70" s="138"/>
    </row>
    <row r="71" spans="1:1" ht="15.75" x14ac:dyDescent="0.25">
      <c r="A71" s="136"/>
    </row>
    <row r="72" spans="1:1" ht="15.75" x14ac:dyDescent="0.25">
      <c r="A72" s="136"/>
    </row>
    <row r="73" spans="1:1" ht="15.75" x14ac:dyDescent="0.25">
      <c r="A73" s="136"/>
    </row>
    <row r="74" spans="1:1" ht="15.75" x14ac:dyDescent="0.25">
      <c r="A74" s="136"/>
    </row>
    <row r="75" spans="1:1" ht="15.75" x14ac:dyDescent="0.25">
      <c r="A75" s="136"/>
    </row>
    <row r="76" spans="1:1" ht="15.75" x14ac:dyDescent="0.25">
      <c r="A76" s="136"/>
    </row>
    <row r="77" spans="1:1" ht="15.75" x14ac:dyDescent="0.25">
      <c r="A77" s="136"/>
    </row>
    <row r="78" spans="1:1" ht="15.75" x14ac:dyDescent="0.25">
      <c r="A78" s="136"/>
    </row>
    <row r="79" spans="1:1" ht="15.75" x14ac:dyDescent="0.25">
      <c r="A79" s="136"/>
    </row>
    <row r="80" spans="1:1" ht="15.75" x14ac:dyDescent="0.25">
      <c r="A80" s="136"/>
    </row>
    <row r="81" spans="1:1" ht="15.75" x14ac:dyDescent="0.25">
      <c r="A81" s="138"/>
    </row>
    <row r="82" spans="1:1" ht="15.75" x14ac:dyDescent="0.25">
      <c r="A82" s="136"/>
    </row>
    <row r="83" spans="1:1" ht="15.75" x14ac:dyDescent="0.25">
      <c r="A83" s="136"/>
    </row>
    <row r="84" spans="1:1" ht="15.75" x14ac:dyDescent="0.25">
      <c r="A84" s="136"/>
    </row>
    <row r="85" spans="1:1" ht="15.75" x14ac:dyDescent="0.25">
      <c r="A85" s="136"/>
    </row>
    <row r="86" spans="1:1" ht="15.75" x14ac:dyDescent="0.25">
      <c r="A86" s="136"/>
    </row>
    <row r="87" spans="1:1" ht="15.75" x14ac:dyDescent="0.25">
      <c r="A87" s="136"/>
    </row>
    <row r="88" spans="1:1" ht="15.75" x14ac:dyDescent="0.25">
      <c r="A88" s="136"/>
    </row>
    <row r="89" spans="1:1" ht="15.75" x14ac:dyDescent="0.25">
      <c r="A89" s="136"/>
    </row>
    <row r="90" spans="1:1" ht="15.75" x14ac:dyDescent="0.25">
      <c r="A90" s="136"/>
    </row>
    <row r="91" spans="1:1" ht="15.75" x14ac:dyDescent="0.25">
      <c r="A91" s="136"/>
    </row>
    <row r="92" spans="1:1" ht="15.75" x14ac:dyDescent="0.25">
      <c r="A92" s="139"/>
    </row>
    <row r="93" spans="1:1" ht="15.75" x14ac:dyDescent="0.25">
      <c r="A93" s="38"/>
    </row>
    <row r="94" spans="1:1" ht="15.75" x14ac:dyDescent="0.25">
      <c r="A94" s="137"/>
    </row>
    <row r="95" spans="1:1" ht="15.75" x14ac:dyDescent="0.25">
      <c r="A95" s="138"/>
    </row>
    <row r="96" spans="1:1" ht="15.75" x14ac:dyDescent="0.25">
      <c r="A96" s="136"/>
    </row>
    <row r="97" spans="1:1" ht="15.75" x14ac:dyDescent="0.25">
      <c r="A97" s="136"/>
    </row>
    <row r="98" spans="1:1" ht="15.75" x14ac:dyDescent="0.25">
      <c r="A98" s="136"/>
    </row>
    <row r="99" spans="1:1" ht="15.75" x14ac:dyDescent="0.25">
      <c r="A99" s="136"/>
    </row>
    <row r="100" spans="1:1" ht="15.75" x14ac:dyDescent="0.25">
      <c r="A100" s="136"/>
    </row>
    <row r="101" spans="1:1" ht="15.75" x14ac:dyDescent="0.25">
      <c r="A101" s="136"/>
    </row>
    <row r="102" spans="1:1" ht="15.75" x14ac:dyDescent="0.25">
      <c r="A102" s="136"/>
    </row>
    <row r="103" spans="1:1" ht="15.75" x14ac:dyDescent="0.25">
      <c r="A103" s="136"/>
    </row>
    <row r="104" spans="1:1" ht="15.75" x14ac:dyDescent="0.25">
      <c r="A104" s="136"/>
    </row>
    <row r="105" spans="1:1" ht="15.75" x14ac:dyDescent="0.25">
      <c r="A105" s="138"/>
    </row>
    <row r="106" spans="1:1" ht="15.75" x14ac:dyDescent="0.25">
      <c r="A106" s="136"/>
    </row>
    <row r="107" spans="1:1" ht="15.75" x14ac:dyDescent="0.25">
      <c r="A107" s="136"/>
    </row>
    <row r="108" spans="1:1" ht="15.75" x14ac:dyDescent="0.25">
      <c r="A108" s="136"/>
    </row>
    <row r="109" spans="1:1" ht="15.75" x14ac:dyDescent="0.25">
      <c r="A109" s="136"/>
    </row>
    <row r="110" spans="1:1" ht="15.75" x14ac:dyDescent="0.25">
      <c r="A110" s="136"/>
    </row>
    <row r="111" spans="1:1" ht="15.75" x14ac:dyDescent="0.25">
      <c r="A111" s="136"/>
    </row>
    <row r="112" spans="1:1" ht="15.75" x14ac:dyDescent="0.25">
      <c r="A112" s="136"/>
    </row>
    <row r="113" spans="1:1" ht="15.75" x14ac:dyDescent="0.25">
      <c r="A113" s="139"/>
    </row>
    <row r="114" spans="1:1" ht="15.75" x14ac:dyDescent="0.25">
      <c r="A114" s="38"/>
    </row>
    <row r="115" spans="1:1" ht="15.75" x14ac:dyDescent="0.25">
      <c r="A115" s="137"/>
    </row>
    <row r="116" spans="1:1" ht="15.75" x14ac:dyDescent="0.25">
      <c r="A116" s="138"/>
    </row>
    <row r="117" spans="1:1" ht="15.75" x14ac:dyDescent="0.25">
      <c r="A117" s="136"/>
    </row>
    <row r="118" spans="1:1" ht="15.75" x14ac:dyDescent="0.25">
      <c r="A118" s="136"/>
    </row>
    <row r="119" spans="1:1" ht="15.75" x14ac:dyDescent="0.25">
      <c r="A119" s="136"/>
    </row>
    <row r="120" spans="1:1" ht="15.75" x14ac:dyDescent="0.25">
      <c r="A120" s="136"/>
    </row>
    <row r="121" spans="1:1" ht="15.75" x14ac:dyDescent="0.25">
      <c r="A121" s="136"/>
    </row>
    <row r="122" spans="1:1" ht="15.75" x14ac:dyDescent="0.25">
      <c r="A122" s="136"/>
    </row>
    <row r="123" spans="1:1" ht="15.75" x14ac:dyDescent="0.25">
      <c r="A123" s="136"/>
    </row>
    <row r="124" spans="1:1" ht="15.75" x14ac:dyDescent="0.25">
      <c r="A124" s="136"/>
    </row>
    <row r="125" spans="1:1" ht="15.75" x14ac:dyDescent="0.25">
      <c r="A125" s="136"/>
    </row>
    <row r="126" spans="1:1" ht="15.75" x14ac:dyDescent="0.25">
      <c r="A126" s="138"/>
    </row>
    <row r="127" spans="1:1" ht="15.75" x14ac:dyDescent="0.25">
      <c r="A127" s="136"/>
    </row>
    <row r="128" spans="1:1" ht="15.75" x14ac:dyDescent="0.25">
      <c r="A128" s="136"/>
    </row>
    <row r="129" spans="1:1" ht="15.75" x14ac:dyDescent="0.25">
      <c r="A129" s="136"/>
    </row>
    <row r="130" spans="1:1" ht="15.75" x14ac:dyDescent="0.25">
      <c r="A130" s="136"/>
    </row>
    <row r="131" spans="1:1" ht="15.75" x14ac:dyDescent="0.25">
      <c r="A131" s="136"/>
    </row>
    <row r="132" spans="1:1" ht="15.75" x14ac:dyDescent="0.25">
      <c r="A132" s="136"/>
    </row>
    <row r="133" spans="1:1" ht="15.75" x14ac:dyDescent="0.25">
      <c r="A133" s="136"/>
    </row>
    <row r="134" spans="1:1" ht="15.75" x14ac:dyDescent="0.25">
      <c r="A134" s="136"/>
    </row>
    <row r="135" spans="1:1" ht="15.75" x14ac:dyDescent="0.25">
      <c r="A135" s="136"/>
    </row>
    <row r="136" spans="1:1" ht="15.75" x14ac:dyDescent="0.25">
      <c r="A136" s="139"/>
    </row>
    <row r="137" spans="1:1" ht="15.75" x14ac:dyDescent="0.25">
      <c r="A137" s="38"/>
    </row>
    <row r="138" spans="1:1" ht="15.75" x14ac:dyDescent="0.25">
      <c r="A138" s="137"/>
    </row>
    <row r="139" spans="1:1" ht="15.75" x14ac:dyDescent="0.25">
      <c r="A139" s="138"/>
    </row>
    <row r="140" spans="1:1" ht="15.75" x14ac:dyDescent="0.25">
      <c r="A140" s="136"/>
    </row>
    <row r="141" spans="1:1" ht="15.75" x14ac:dyDescent="0.25">
      <c r="A141" s="136"/>
    </row>
    <row r="142" spans="1:1" ht="15.75" x14ac:dyDescent="0.25">
      <c r="A142" s="136"/>
    </row>
    <row r="143" spans="1:1" ht="15.75" x14ac:dyDescent="0.25">
      <c r="A143" s="138"/>
    </row>
    <row r="144" spans="1:1" ht="15.75" x14ac:dyDescent="0.25">
      <c r="A144" s="136"/>
    </row>
    <row r="145" spans="1:1" ht="15.75" x14ac:dyDescent="0.25">
      <c r="A145" s="136"/>
    </row>
    <row r="146" spans="1:1" ht="15.75" x14ac:dyDescent="0.25">
      <c r="A146" s="136"/>
    </row>
    <row r="147" spans="1:1" ht="15.75" x14ac:dyDescent="0.25">
      <c r="A147" s="136"/>
    </row>
    <row r="148" spans="1:1" ht="15.75" x14ac:dyDescent="0.25">
      <c r="A148" s="139"/>
    </row>
    <row r="149" spans="1:1" ht="15.75" x14ac:dyDescent="0.25">
      <c r="A149" s="38"/>
    </row>
    <row r="150" spans="1:1" ht="15.75" x14ac:dyDescent="0.25">
      <c r="A150" s="137"/>
    </row>
    <row r="151" spans="1:1" ht="15.75" x14ac:dyDescent="0.25">
      <c r="A151" s="138"/>
    </row>
    <row r="152" spans="1:1" ht="15.75" x14ac:dyDescent="0.25">
      <c r="A152" s="136"/>
    </row>
    <row r="153" spans="1:1" ht="15.75" x14ac:dyDescent="0.25">
      <c r="A153" s="136"/>
    </row>
    <row r="154" spans="1:1" ht="15.75" x14ac:dyDescent="0.25">
      <c r="A154" s="136"/>
    </row>
    <row r="155" spans="1:1" ht="15.75" x14ac:dyDescent="0.25">
      <c r="A155" s="136"/>
    </row>
    <row r="156" spans="1:1" ht="15.75" x14ac:dyDescent="0.25">
      <c r="A156" s="136"/>
    </row>
    <row r="157" spans="1:1" ht="15.75" x14ac:dyDescent="0.25">
      <c r="A157" s="136"/>
    </row>
    <row r="158" spans="1:1" ht="15.75" x14ac:dyDescent="0.25">
      <c r="A158" s="138"/>
    </row>
    <row r="159" spans="1:1" ht="15.75" x14ac:dyDescent="0.25">
      <c r="A159" s="136"/>
    </row>
    <row r="160" spans="1:1" ht="15.75" x14ac:dyDescent="0.25">
      <c r="A160" s="136"/>
    </row>
    <row r="161" spans="1:1" ht="15.75" x14ac:dyDescent="0.25">
      <c r="A161" s="136"/>
    </row>
    <row r="162" spans="1:1" ht="15.75" x14ac:dyDescent="0.25">
      <c r="A162" s="136"/>
    </row>
    <row r="163" spans="1:1" ht="15.75" x14ac:dyDescent="0.25">
      <c r="A163" s="136"/>
    </row>
    <row r="164" spans="1:1" ht="15.75" x14ac:dyDescent="0.25">
      <c r="A164" s="136"/>
    </row>
    <row r="165" spans="1:1" ht="15.75" x14ac:dyDescent="0.25">
      <c r="A165" s="136"/>
    </row>
    <row r="166" spans="1:1" ht="15.75" x14ac:dyDescent="0.25">
      <c r="A166" s="136"/>
    </row>
    <row r="167" spans="1:1" ht="15.75" x14ac:dyDescent="0.25">
      <c r="A167" s="38"/>
    </row>
    <row r="168" spans="1:1" ht="15.75" x14ac:dyDescent="0.25">
      <c r="A168" s="137"/>
    </row>
    <row r="169" spans="1:1" ht="15.75" x14ac:dyDescent="0.25">
      <c r="A169" s="138"/>
    </row>
    <row r="170" spans="1:1" ht="15.75" x14ac:dyDescent="0.25">
      <c r="A170" s="136"/>
    </row>
    <row r="171" spans="1:1" ht="15.75" x14ac:dyDescent="0.25">
      <c r="A171" s="136"/>
    </row>
    <row r="172" spans="1:1" ht="15.75" x14ac:dyDescent="0.25">
      <c r="A172" s="136"/>
    </row>
    <row r="173" spans="1:1" ht="15.75" x14ac:dyDescent="0.25">
      <c r="A173" s="136"/>
    </row>
    <row r="174" spans="1:1" ht="15.75" x14ac:dyDescent="0.25">
      <c r="A174" s="138"/>
    </row>
    <row r="175" spans="1:1" ht="15.75" x14ac:dyDescent="0.25">
      <c r="A175" s="136"/>
    </row>
    <row r="176" spans="1:1" ht="15.75" x14ac:dyDescent="0.25">
      <c r="A176" s="136"/>
    </row>
    <row r="177" spans="1:1" ht="15.75" x14ac:dyDescent="0.25">
      <c r="A177" s="136"/>
    </row>
    <row r="178" spans="1:1" ht="15.75" x14ac:dyDescent="0.25">
      <c r="A178" s="136"/>
    </row>
    <row r="179" spans="1:1" ht="15.75" x14ac:dyDescent="0.25">
      <c r="A179" s="38"/>
    </row>
    <row r="180" spans="1:1" ht="15.75" x14ac:dyDescent="0.25">
      <c r="A180" s="137"/>
    </row>
    <row r="181" spans="1:1" ht="15.75" x14ac:dyDescent="0.25">
      <c r="A181" s="138"/>
    </row>
    <row r="182" spans="1:1" ht="15.75" x14ac:dyDescent="0.25">
      <c r="A182" s="136"/>
    </row>
    <row r="183" spans="1:1" ht="15.75" x14ac:dyDescent="0.25">
      <c r="A183" s="136"/>
    </row>
    <row r="184" spans="1:1" ht="15.75" x14ac:dyDescent="0.25">
      <c r="A184" s="136"/>
    </row>
    <row r="185" spans="1:1" ht="15.75" x14ac:dyDescent="0.25">
      <c r="A185" s="136"/>
    </row>
    <row r="186" spans="1:1" ht="15.75" x14ac:dyDescent="0.25">
      <c r="A186" s="136"/>
    </row>
    <row r="187" spans="1:1" ht="15.75" x14ac:dyDescent="0.25">
      <c r="A187" s="136"/>
    </row>
    <row r="188" spans="1:1" ht="15.75" x14ac:dyDescent="0.25">
      <c r="A188" s="138"/>
    </row>
    <row r="189" spans="1:1" ht="15.75" x14ac:dyDescent="0.25">
      <c r="A189" s="136"/>
    </row>
    <row r="190" spans="1:1" ht="15.75" x14ac:dyDescent="0.25">
      <c r="A190" s="136"/>
    </row>
    <row r="191" spans="1:1" ht="15.75" x14ac:dyDescent="0.25">
      <c r="A191" s="136"/>
    </row>
    <row r="192" spans="1:1" ht="15.75" x14ac:dyDescent="0.25">
      <c r="A192" s="136"/>
    </row>
    <row r="193" spans="1:1" ht="15.75" x14ac:dyDescent="0.25">
      <c r="A193" s="136"/>
    </row>
    <row r="194" spans="1:1" ht="15.75" x14ac:dyDescent="0.25">
      <c r="A194" s="136"/>
    </row>
    <row r="195" spans="1:1" ht="15.75" x14ac:dyDescent="0.25">
      <c r="A195" s="136"/>
    </row>
    <row r="196" spans="1:1" ht="15.75" x14ac:dyDescent="0.25">
      <c r="A196" s="136"/>
    </row>
    <row r="197" spans="1:1" ht="15.75" x14ac:dyDescent="0.25">
      <c r="A197" s="136"/>
    </row>
    <row r="198" spans="1:1" ht="15.75" x14ac:dyDescent="0.25">
      <c r="A198" s="136"/>
    </row>
    <row r="199" spans="1:1" ht="15.75" x14ac:dyDescent="0.25">
      <c r="A199" s="136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N14"/>
  <sheetViews>
    <sheetView view="pageBreakPreview" zoomScale="85" zoomScaleNormal="70" zoomScaleSheetLayoutView="85" workbookViewId="0">
      <selection activeCell="B4" sqref="B4:D4"/>
    </sheetView>
  </sheetViews>
  <sheetFormatPr defaultRowHeight="15" x14ac:dyDescent="0.25"/>
  <sheetData>
    <row r="1" spans="1:14" x14ac:dyDescent="0.25">
      <c r="A1" s="167" t="s">
        <v>258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</row>
    <row r="2" spans="1:14" x14ac:dyDescent="0.25">
      <c r="A2" s="167"/>
      <c r="B2" s="167"/>
      <c r="C2" s="167"/>
      <c r="D2" s="167"/>
      <c r="E2" s="167"/>
      <c r="F2" s="167"/>
      <c r="G2" s="167"/>
      <c r="H2" s="167"/>
      <c r="I2" s="167"/>
      <c r="J2" s="167"/>
      <c r="K2" s="167"/>
      <c r="L2" s="167"/>
      <c r="M2" s="167"/>
      <c r="N2" s="167"/>
    </row>
    <row r="3" spans="1:14" ht="45" customHeight="1" x14ac:dyDescent="0.25">
      <c r="A3" s="140" t="s">
        <v>2</v>
      </c>
      <c r="B3" s="165" t="str">
        <f>CONCATENATE(Text!B17,Text!B18,Text!B19)</f>
        <v>tulburări psihosomatice minore, rezonanță activă scăzută cu consecințe somatice normale asumate</v>
      </c>
      <c r="C3" s="166"/>
      <c r="D3" s="166"/>
      <c r="E3" s="166"/>
      <c r="F3" s="166"/>
      <c r="G3" s="166"/>
      <c r="H3" s="166"/>
      <c r="I3" s="166"/>
      <c r="J3" s="166"/>
      <c r="K3" s="166"/>
      <c r="L3" s="166"/>
      <c r="M3" s="166"/>
      <c r="N3" s="166"/>
    </row>
    <row r="4" spans="1:14" ht="45" customHeight="1" x14ac:dyDescent="0.25">
      <c r="A4" s="26" t="s">
        <v>3</v>
      </c>
      <c r="B4" s="165" t="str">
        <f>CONCATENATE(Text!C17,Text!C18,Text!C19)</f>
        <v>tendințe reduse de agresiune spontane, stăpânire de sine, comportare stabilă, controlată conștient, cu trăsături de om liniștit, ponderat, echilibrat în relații</v>
      </c>
      <c r="C4" s="166"/>
      <c r="D4" s="166"/>
      <c r="E4" s="166"/>
      <c r="F4" s="166"/>
      <c r="G4" s="166"/>
      <c r="H4" s="166"/>
      <c r="I4" s="166"/>
      <c r="J4" s="166"/>
      <c r="K4" s="166"/>
      <c r="L4" s="166"/>
      <c r="M4" s="166"/>
      <c r="N4" s="166"/>
    </row>
    <row r="5" spans="1:14" ht="45" customHeight="1" x14ac:dyDescent="0.25">
      <c r="A5" s="27" t="s">
        <v>4</v>
      </c>
      <c r="B5" s="165" t="str">
        <f>CONCATENATE(Text!D17,Text!D18,Text!D19)</f>
        <v>dispoziție echilibrată, relaxare, optimism, raport emoțional bun, capacitate de concentrare și siguranță și mulțumire de sine.</v>
      </c>
      <c r="C5" s="166"/>
      <c r="D5" s="166"/>
      <c r="E5" s="166"/>
      <c r="F5" s="166"/>
      <c r="G5" s="166"/>
      <c r="H5" s="166"/>
      <c r="I5" s="166"/>
      <c r="J5" s="166"/>
      <c r="K5" s="166"/>
      <c r="L5" s="166"/>
      <c r="M5" s="166"/>
      <c r="N5" s="166"/>
    </row>
    <row r="6" spans="1:14" ht="45" customHeight="1" x14ac:dyDescent="0.25">
      <c r="A6" s="28" t="s">
        <v>6</v>
      </c>
      <c r="B6" s="165" t="str">
        <f>CONCATENATE(Text!E17,Text!E18,Text!E19)</f>
        <v>impulsivitate redusă, calm, stăpânire emoțională și toleranță ridicată la frustrare</v>
      </c>
      <c r="C6" s="166"/>
      <c r="D6" s="166"/>
      <c r="E6" s="166"/>
      <c r="F6" s="166"/>
      <c r="G6" s="166"/>
      <c r="H6" s="166"/>
      <c r="I6" s="166"/>
      <c r="J6" s="166"/>
      <c r="K6" s="166"/>
      <c r="L6" s="166"/>
      <c r="M6" s="166"/>
      <c r="N6" s="166"/>
    </row>
    <row r="7" spans="1:14" ht="45" customHeight="1" x14ac:dyDescent="0.25">
      <c r="A7" s="29" t="s">
        <v>5</v>
      </c>
      <c r="B7" s="165" t="str">
        <f>CONCATENATE(Text!F17,Text!F18,Text!F19)</f>
        <v>null</v>
      </c>
      <c r="C7" s="166"/>
      <c r="D7" s="166"/>
      <c r="E7" s="166"/>
      <c r="F7" s="166"/>
      <c r="G7" s="166"/>
      <c r="H7" s="166"/>
      <c r="I7" s="166"/>
      <c r="J7" s="166"/>
      <c r="K7" s="166"/>
      <c r="L7" s="166"/>
      <c r="M7" s="166"/>
      <c r="N7" s="166"/>
    </row>
    <row r="8" spans="1:14" ht="45" customHeight="1" x14ac:dyDescent="0.25">
      <c r="A8" s="30" t="s">
        <v>7</v>
      </c>
      <c r="B8" s="165" t="str">
        <f>CONCATENATE(Text!G17,Text!G18,Text!G19)</f>
        <v>încredere în sine; nu se abate din drumul său; nu poate fi enervate uşor; răbdător în anumite condiţii; dârz,neliniştit; bună dispoziţie; optimist; nu-i plac disputele agresive; energic; acţionează repede şi eficient;</v>
      </c>
      <c r="C8" s="166"/>
      <c r="D8" s="166"/>
      <c r="E8" s="166"/>
      <c r="F8" s="166"/>
      <c r="G8" s="166"/>
      <c r="H8" s="166"/>
      <c r="I8" s="166"/>
      <c r="J8" s="166"/>
      <c r="K8" s="166"/>
      <c r="L8" s="166"/>
      <c r="M8" s="166"/>
      <c r="N8" s="166"/>
    </row>
    <row r="9" spans="1:14" ht="45" customHeight="1" x14ac:dyDescent="0.25">
      <c r="A9" s="31" t="s">
        <v>8</v>
      </c>
      <c r="B9" s="165" t="str">
        <f>CONCATENATE(Text!H17,Text!H18,Text!H19)</f>
        <v>tact; atitudine ponderată; înţelegător; maleabil; atitudine tolerantă; încrezător; judecăţi morale diferenţiate;</v>
      </c>
      <c r="C9" s="166"/>
      <c r="D9" s="166"/>
      <c r="E9" s="166"/>
      <c r="F9" s="166"/>
      <c r="G9" s="166"/>
      <c r="H9" s="166"/>
      <c r="I9" s="166"/>
      <c r="J9" s="166"/>
      <c r="K9" s="166"/>
      <c r="L9" s="166"/>
      <c r="M9" s="166"/>
      <c r="N9" s="166"/>
    </row>
    <row r="10" spans="1:14" ht="45" customHeight="1" x14ac:dyDescent="0.25">
      <c r="A10" s="32" t="s">
        <v>9</v>
      </c>
      <c r="B10" s="165" t="str">
        <f>CONCATENATE(Text!I17,Text!I18,Text!I19)</f>
        <v>timiditate, stingher; inhibat în relaţiile cu alte personae; incapabil de contact sau cu un comportament anormal în situaţii de contact; trac; neplăceri fizice înaintea anumitor ocazii sau la emoţii; putere de acţiune redusă; nesiguri în luarea hotărârilor; nu luptă pentru realizarea celor propuse; iritat când se ştie observat;</v>
      </c>
      <c r="C10" s="166"/>
      <c r="D10" s="166"/>
      <c r="E10" s="166"/>
      <c r="F10" s="166"/>
      <c r="G10" s="166"/>
      <c r="H10" s="166"/>
      <c r="I10" s="166"/>
      <c r="J10" s="166"/>
      <c r="K10" s="166"/>
      <c r="L10" s="166"/>
      <c r="M10" s="166"/>
      <c r="N10" s="166"/>
    </row>
    <row r="11" spans="1:14" ht="45" customHeight="1" x14ac:dyDescent="0.25">
      <c r="A11" s="33" t="s">
        <v>10</v>
      </c>
      <c r="B11" s="165" t="str">
        <f>CONCATENATE(Text!J17,Text!J18,Text!J19)</f>
        <v>recunoaşte mici slăbiciuni şi defecte; autocritic; în anumite situaţii are  atitudine dezinvoltă;</v>
      </c>
      <c r="C11" s="166"/>
      <c r="D11" s="166"/>
      <c r="E11" s="166"/>
      <c r="F11" s="166"/>
      <c r="G11" s="166"/>
      <c r="H11" s="166"/>
      <c r="I11" s="166"/>
      <c r="J11" s="166"/>
      <c r="K11" s="166"/>
      <c r="L11" s="166"/>
      <c r="M11" s="166"/>
      <c r="N11" s="166"/>
    </row>
    <row r="12" spans="1:14" ht="45" customHeight="1" x14ac:dyDescent="0.25">
      <c r="A12" s="34" t="s">
        <v>11</v>
      </c>
      <c r="B12" s="165" t="str">
        <f>CONCATENATE(Text!K17,Text!K18,Text!K19)</f>
        <v>sociabilitate; vioiciune; întreprinzător; domină; dă tonul; capabil să se impună;</v>
      </c>
      <c r="C12" s="166"/>
      <c r="D12" s="166"/>
      <c r="E12" s="166"/>
      <c r="F12" s="166"/>
      <c r="G12" s="166"/>
      <c r="H12" s="166"/>
      <c r="I12" s="166"/>
      <c r="J12" s="166"/>
      <c r="K12" s="166"/>
      <c r="L12" s="166"/>
      <c r="M12" s="166"/>
      <c r="N12" s="166"/>
    </row>
    <row r="13" spans="1:14" ht="45" customHeight="1" x14ac:dyDescent="0.25">
      <c r="A13" s="35" t="s">
        <v>12</v>
      </c>
      <c r="B13" s="165" t="str">
        <f>CONCATENATE(Text!L17,Text!L18,Text!L19)</f>
        <v>dispoziţie stabilă şi echilibrată;pozitiv; degajat;bine dispus; răbdător; calm; liniştit; siguranţă de sine;puţine griji; capacitate de concentrare; raport emoţional netulburat.</v>
      </c>
      <c r="C13" s="166"/>
      <c r="D13" s="166"/>
      <c r="E13" s="166"/>
      <c r="F13" s="166"/>
      <c r="G13" s="166"/>
      <c r="H13" s="166"/>
      <c r="I13" s="166"/>
      <c r="J13" s="166"/>
      <c r="K13" s="166"/>
      <c r="L13" s="166"/>
      <c r="M13" s="166"/>
      <c r="N13" s="166"/>
    </row>
    <row r="14" spans="1:14" ht="45" customHeight="1" x14ac:dyDescent="0.25">
      <c r="A14" s="36" t="s">
        <v>13</v>
      </c>
      <c r="B14" s="165" t="str">
        <f>CONCATENATE(Text!M17,Text!M18,Text!M19)</f>
        <v>se impune activ; conştient de sine; întreprinzător; optimist; gata de a intra în acţiune; dispoziţie echilibrată;</v>
      </c>
      <c r="C14" s="166"/>
      <c r="D14" s="166"/>
      <c r="E14" s="166"/>
      <c r="F14" s="166"/>
      <c r="G14" s="166"/>
      <c r="H14" s="166"/>
      <c r="I14" s="166"/>
      <c r="J14" s="166"/>
      <c r="K14" s="166"/>
      <c r="L14" s="166"/>
      <c r="M14" s="166"/>
      <c r="N14" s="166"/>
    </row>
  </sheetData>
  <mergeCells count="13">
    <mergeCell ref="A1:N2"/>
    <mergeCell ref="B3:N3"/>
    <mergeCell ref="B4:N4"/>
    <mergeCell ref="B5:N5"/>
    <mergeCell ref="B6:N6"/>
    <mergeCell ref="B12:N12"/>
    <mergeCell ref="B13:N13"/>
    <mergeCell ref="B14:N14"/>
    <mergeCell ref="B7:N7"/>
    <mergeCell ref="B8:N8"/>
    <mergeCell ref="B9:N9"/>
    <mergeCell ref="B10:N10"/>
    <mergeCell ref="B11:N11"/>
  </mergeCells>
  <pageMargins left="0.7" right="0.7" top="0.75" bottom="0.75" header="0.3" footer="0.3"/>
  <pageSetup paperSize="9" scale="88" orientation="landscape" r:id="rId1"/>
  <rowBreaks count="1" manualBreakCount="1">
    <brk id="14" max="1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Chestionar</vt:lpstr>
      <vt:lpstr>Rezultat</vt:lpstr>
      <vt:lpstr>Intrebari</vt:lpstr>
      <vt:lpstr>Text</vt:lpstr>
      <vt:lpstr>RezultatText</vt:lpstr>
      <vt:lpstr>Chestionar!Print_Area</vt:lpstr>
      <vt:lpstr>RezultatText!Print_Area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Florentin</dc:creator>
  <cp:lastModifiedBy>Florentin</cp:lastModifiedBy>
  <dcterms:created xsi:type="dcterms:W3CDTF">2015-06-05T18:17:20Z</dcterms:created>
  <dcterms:modified xsi:type="dcterms:W3CDTF">2022-09-26T17:28:30Z</dcterms:modified>
</cp:coreProperties>
</file>